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imelines/timeline1.xml" ContentType="application/vnd.ms-excel.timelin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imelines/timeline2.xml" ContentType="application/vnd.ms-excel.timelin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timelines/timeline3.xml" ContentType="application/vnd.ms-excel.timelin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f8380d4eed02541/Pulpit/"/>
    </mc:Choice>
  </mc:AlternateContent>
  <xr:revisionPtr revIDLastSave="1782" documentId="13_ncr:1_{80249397-FFF3-48B0-97A5-1A336BB6981F}" xr6:coauthVersionLast="47" xr6:coauthVersionMax="47" xr10:uidLastSave="{CC995244-33FA-4732-BFA9-3145375249CE}"/>
  <bookViews>
    <workbookView xWindow="-108" yWindow="-108" windowWidth="23256" windowHeight="13896" tabRatio="814" activeTab="5" xr2:uid="{00000000-000D-0000-FFFF-FFFF00000000}"/>
  </bookViews>
  <sheets>
    <sheet name="Excel --&gt;" sheetId="16" r:id="rId1"/>
    <sheet name="data for charts" sheetId="18" state="hidden" r:id="rId2"/>
    <sheet name="1. KPIs" sheetId="19" r:id="rId3"/>
    <sheet name="1.1 KPIs Chart" sheetId="22" r:id="rId4"/>
    <sheet name="2. Period analysis" sheetId="20" r:id="rId5"/>
    <sheet name="2.1 Period analysis chart" sheetId="21" r:id="rId6"/>
    <sheet name="3. Overview" sheetId="14" r:id="rId7"/>
    <sheet name="3.1 Overview Chart" sheetId="17" r:id="rId8"/>
    <sheet name="Date" sheetId="10" state="hidden" r:id="rId9"/>
    <sheet name="P&amp;L" sheetId="11" state="hidden" r:id="rId10"/>
    <sheet name="Actuals1" sheetId="9" state="hidden" r:id="rId11"/>
    <sheet name="Budget1" sheetId="8" state="hidden" r:id="rId12"/>
    <sheet name="Actuals2" sheetId="6" state="hidden" r:id="rId13"/>
    <sheet name="Budget2" sheetId="7" state="hidden" r:id="rId14"/>
    <sheet name="Power BI --&gt;" sheetId="15" r:id="rId15"/>
    <sheet name="Account-Overview" sheetId="3" r:id="rId16"/>
    <sheet name="Actuals (from Accounting)" sheetId="1" r:id="rId17"/>
    <sheet name="Budget (from Controlling)" sheetId="2" r:id="rId18"/>
    <sheet name="Actuals" sheetId="4" r:id="rId19"/>
    <sheet name="Budget" sheetId="5" r:id="rId20"/>
  </sheets>
  <definedNames>
    <definedName name="_xlcn.WorksheetConnection_BusinessControllerCaseStudy.xlsxActuals1_11" hidden="1">Actuals1_1[]</definedName>
    <definedName name="_xlcn.WorksheetConnection_BusinessControllerCaseStudy.xlsxBudget2_11" hidden="1">Budget2_1[]</definedName>
    <definedName name="_xlcn.WorksheetConnection_BusinessControllerCaseStudy.xlsxDate1" hidden="1">Date[]</definedName>
    <definedName name="_xlcn.WorksheetConnection_BusinessControllerCaseStudy.xlsxP_L1" hidden="1">P_L[]</definedName>
    <definedName name="ExternalData_1" localSheetId="10" hidden="1">Actuals1!$A$1:$G$1027</definedName>
    <definedName name="ExternalData_1" localSheetId="11" hidden="1">Budget1!$A$1:$F$169</definedName>
    <definedName name="ExternalData_2" localSheetId="8" hidden="1">Date!$A$1:$I$732</definedName>
    <definedName name="ExternalData_2" localSheetId="9" hidden="1">'P&amp;L'!$A$1:$E$31</definedName>
    <definedName name="Fragmentator_Name">#N/A</definedName>
    <definedName name="Fragmentator_Name1">#N/A</definedName>
    <definedName name="Fragmentator_Type">#N/A</definedName>
    <definedName name="Fragmentator_Type1">#N/A</definedName>
    <definedName name="Fragmentator_Type11">#N/A</definedName>
    <definedName name="Fragmentator_Type2">#N/A</definedName>
    <definedName name="OśCzasu_Date">#N/A</definedName>
    <definedName name="OśCzasu_Date1">#N/A</definedName>
    <definedName name="OśCzasu_Date2">#N/A</definedName>
  </definedNames>
  <calcPr calcId="191029"/>
  <pivotCaches>
    <pivotCache cacheId="1" r:id="rId21"/>
    <pivotCache cacheId="2" r:id="rId22"/>
    <pivotCache cacheId="3" r:id="rId23"/>
    <pivotCache cacheId="4" r:id="rId24"/>
    <pivotCache cacheId="38" r:id="rId25"/>
    <pivotCache cacheId="62" r:id="rId26"/>
  </pivotCaches>
  <extLst>
    <ext xmlns:x14="http://schemas.microsoft.com/office/spreadsheetml/2009/9/main" uri="{876F7934-8845-4945-9796-88D515C7AA90}">
      <x14:pivotCaches>
        <pivotCache cacheId="6" r:id="rId27"/>
        <pivotCache cacheId="7" r:id="rId28"/>
      </x14:pivotCaches>
    </ext>
    <ext xmlns:x14="http://schemas.microsoft.com/office/spreadsheetml/2009/9/main" uri="{BBE1A952-AA13-448e-AADC-164F8A28A991}">
      <x14:slicerCaches>
        <x14:slicerCache r:id="rId29"/>
        <x14:slicerCache r:id="rId30"/>
        <x14:slicerCache r:id="rId31"/>
        <x14:slicerCache r:id="rId32"/>
        <x14:slicerCache r:id="rId33"/>
        <x14:slicerCache r:id="rId3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8" r:id="rId35"/>
        <pivotCache cacheId="9" r:id="rId36"/>
        <pivotCache cacheId="10" r:id="rId37"/>
      </x15:timelineCachePivotCaches>
    </ext>
    <ext xmlns:x15="http://schemas.microsoft.com/office/spreadsheetml/2010/11/main" uri="{D0CA8CA8-9F24-4464-BF8E-62219DCF47F9}">
      <x15:timelineCacheRefs>
        <x15:timelineCacheRef r:id="rId38"/>
        <x15:timelineCacheRef r:id="rId39"/>
        <x15:timelineCacheRef r:id="rId40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_L" name="P_L" connection="WorksheetConnection_Business Controller - Case Study.xlsx!P_L"/>
          <x15:modelTable id="Date" name="Date" connection="WorksheetConnection_Business Controller - Case Study.xlsx!Date"/>
          <x15:modelTable id="Budget2_1" name="Budget2_1" connection="WorksheetConnection_Business Controller - Case Study.xlsx!Budget2_1"/>
          <x15:modelTable id="Actuals1_1" name="Actuals1_1" connection="WorksheetConnection_Business Controller - Case Study.xlsx!Actuals1_1"/>
        </x15:modelTables>
        <x15:modelRelationships>
          <x15:modelRelationship fromTable="Actuals1_1" fromColumn="Period" toTable="Date" toColumn="Date"/>
          <x15:modelRelationship fromTable="Actuals1_1" fromColumn="Key" toTable="P_L" toColumn="Key"/>
          <x15:modelRelationship fromTable="Budget2_1" fromColumn="Period" toTable="Date" toColumn="Date"/>
          <x15:modelRelationship fromTable="Budget2_1" fromColumn="Key" toTable="P_L" toColumn="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Actuals1_1" columnName="Period" columnId="Period">
                <x16:calculatedTimeColumn columnName="Period (rok)" columnId="Period (rok)" contentType="years" isSelected="1"/>
                <x16:calculatedTimeColumn columnName="Period (kwartał)" columnId="Period (kwartał)" contentType="quarters" isSelected="1"/>
                <x16:calculatedTimeColumn columnName="Period (indeks miesiąca)" columnId="Period (indeks miesiąca)" contentType="monthsindex" isSelected="1"/>
                <x16:calculatedTimeColumn columnName="Period (miesiąc)" columnId="Period (miesiąc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5" l="1"/>
  <c r="E17" i="5"/>
  <c r="F17" i="5"/>
  <c r="G17" i="5"/>
  <c r="H17" i="5"/>
  <c r="I17" i="5"/>
  <c r="J17" i="5"/>
  <c r="K17" i="5"/>
  <c r="L17" i="5"/>
  <c r="M17" i="5"/>
  <c r="N17" i="5"/>
  <c r="C17" i="5"/>
  <c r="D10" i="5"/>
  <c r="E10" i="5"/>
  <c r="F10" i="5"/>
  <c r="G10" i="5"/>
  <c r="H10" i="5"/>
  <c r="I10" i="5"/>
  <c r="J10" i="5"/>
  <c r="K10" i="5"/>
  <c r="L10" i="5"/>
  <c r="M10" i="5"/>
  <c r="N10" i="5"/>
  <c r="C10" i="5"/>
  <c r="D6" i="5"/>
  <c r="E6" i="5"/>
  <c r="F6" i="5"/>
  <c r="G6" i="5"/>
  <c r="H6" i="5"/>
  <c r="I6" i="5"/>
  <c r="J6" i="5"/>
  <c r="K6" i="5"/>
  <c r="L6" i="5"/>
  <c r="M6" i="5"/>
  <c r="N6" i="5"/>
  <c r="C6" i="5"/>
  <c r="E58" i="4"/>
  <c r="E57" i="4"/>
  <c r="R58" i="4"/>
  <c r="S58" i="4"/>
  <c r="T58" i="4"/>
  <c r="U58" i="4"/>
  <c r="V58" i="4"/>
  <c r="R57" i="4"/>
  <c r="S57" i="4"/>
  <c r="T57" i="4"/>
  <c r="U57" i="4"/>
  <c r="V57" i="4"/>
  <c r="R56" i="4"/>
  <c r="S56" i="4"/>
  <c r="T56" i="4"/>
  <c r="U56" i="4"/>
  <c r="V56" i="4"/>
  <c r="Q58" i="4"/>
  <c r="Q57" i="4"/>
  <c r="Q56" i="4"/>
  <c r="F58" i="4"/>
  <c r="G58" i="4"/>
  <c r="H58" i="4"/>
  <c r="I58" i="4"/>
  <c r="J58" i="4"/>
  <c r="K58" i="4"/>
  <c r="L58" i="4"/>
  <c r="M58" i="4"/>
  <c r="N58" i="4"/>
  <c r="O58" i="4"/>
  <c r="P58" i="4"/>
  <c r="F57" i="4"/>
  <c r="G57" i="4"/>
  <c r="H57" i="4"/>
  <c r="I57" i="4"/>
  <c r="J57" i="4"/>
  <c r="K57" i="4"/>
  <c r="L57" i="4"/>
  <c r="M57" i="4"/>
  <c r="N57" i="4"/>
  <c r="O57" i="4"/>
  <c r="P57" i="4"/>
  <c r="F56" i="4"/>
  <c r="G56" i="4"/>
  <c r="H56" i="4"/>
  <c r="I56" i="4"/>
  <c r="J56" i="4"/>
  <c r="K56" i="4"/>
  <c r="L56" i="4"/>
  <c r="M56" i="4"/>
  <c r="N56" i="4"/>
  <c r="O56" i="4"/>
  <c r="P56" i="4"/>
  <c r="E5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2" i="4"/>
  <c r="F13" i="2"/>
  <c r="L13" i="2" l="1"/>
  <c r="E13" i="2"/>
  <c r="M13" i="2"/>
  <c r="N13" i="2"/>
  <c r="G13" i="2"/>
  <c r="O13" i="2"/>
  <c r="H13" i="2"/>
  <c r="I13" i="2"/>
  <c r="J13" i="2"/>
  <c r="K13" i="2"/>
  <c r="L8" i="2"/>
  <c r="K8" i="2"/>
  <c r="J8" i="2"/>
  <c r="I8" i="2"/>
  <c r="H8" i="2"/>
  <c r="O8" i="2"/>
  <c r="G8" i="2"/>
  <c r="N8" i="2"/>
  <c r="F8" i="2"/>
  <c r="M8" i="2"/>
  <c r="E8" i="2"/>
  <c r="D8" i="2"/>
  <c r="M15" i="2" l="1"/>
  <c r="K15" i="2"/>
  <c r="E15" i="2"/>
  <c r="J15" i="2"/>
  <c r="G15" i="2"/>
  <c r="H15" i="2"/>
  <c r="O15" i="2"/>
  <c r="I15" i="2"/>
  <c r="F15" i="2"/>
  <c r="L15" i="2"/>
  <c r="N15" i="2"/>
  <c r="N23" i="2" l="1"/>
  <c r="L23" i="2"/>
  <c r="J23" i="2"/>
  <c r="I23" i="2"/>
  <c r="K23" i="2"/>
  <c r="M23" i="2"/>
  <c r="G23" i="2"/>
  <c r="D23" i="2"/>
  <c r="O23" i="2" l="1"/>
  <c r="H23" i="2"/>
  <c r="E23" i="2"/>
  <c r="F23" i="2"/>
  <c r="L25" i="2"/>
  <c r="G25" i="2"/>
  <c r="I25" i="2"/>
  <c r="K25" i="2"/>
  <c r="N25" i="2"/>
  <c r="J25" i="2"/>
  <c r="M25" i="2"/>
  <c r="O25" i="2" l="1"/>
  <c r="H25" i="2"/>
  <c r="E25" i="2"/>
  <c r="F25" i="2"/>
  <c r="D13" i="2" l="1"/>
  <c r="D15" i="2" s="1"/>
  <c r="D2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05221F-3DB9-407B-B852-199FFFE3A526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69C6580-E75E-4FB3-B508-2C9A8D2D970B}" name="WorksheetConnection_Business Controller - Case Study.xlsx!Actuals1_1" type="102" refreshedVersion="8" minRefreshableVersion="5">
    <extLst>
      <ext xmlns:x15="http://schemas.microsoft.com/office/spreadsheetml/2010/11/main" uri="{DE250136-89BD-433C-8126-D09CA5730AF9}">
        <x15:connection id="Actuals1_1">
          <x15:rangePr sourceName="_xlcn.WorksheetConnection_BusinessControllerCaseStudy.xlsxActuals1_11"/>
        </x15:connection>
      </ext>
    </extLst>
  </connection>
  <connection id="3" xr16:uid="{EC499166-7CD4-4168-BD89-89DD0C38A157}" name="WorksheetConnection_Business Controller - Case Study.xlsx!Budget2_1" type="102" refreshedVersion="8" minRefreshableVersion="5">
    <extLst>
      <ext xmlns:x15="http://schemas.microsoft.com/office/spreadsheetml/2010/11/main" uri="{DE250136-89BD-433C-8126-D09CA5730AF9}">
        <x15:connection id="Budget2_1">
          <x15:rangePr sourceName="_xlcn.WorksheetConnection_BusinessControllerCaseStudy.xlsxBudget2_11"/>
        </x15:connection>
      </ext>
    </extLst>
  </connection>
  <connection id="4" xr16:uid="{7B35CF46-CF14-4844-8A23-00A053F841AC}" name="WorksheetConnection_Business Controller - Case Study.xlsx!Date" type="102" refreshedVersion="8" minRefreshableVersion="5">
    <extLst>
      <ext xmlns:x15="http://schemas.microsoft.com/office/spreadsheetml/2010/11/main" uri="{DE250136-89BD-433C-8126-D09CA5730AF9}">
        <x15:connection id="Date">
          <x15:rangePr sourceName="_xlcn.WorksheetConnection_BusinessControllerCaseStudy.xlsxDate1"/>
        </x15:connection>
      </ext>
    </extLst>
  </connection>
  <connection id="5" xr16:uid="{B3129338-496F-4CF6-AF88-91CF1E37BDB8}" name="WorksheetConnection_Business Controller - Case Study.xlsx!P_L" type="102" refreshedVersion="8" minRefreshableVersion="5">
    <extLst>
      <ext xmlns:x15="http://schemas.microsoft.com/office/spreadsheetml/2010/11/main" uri="{DE250136-89BD-433C-8126-D09CA5730AF9}">
        <x15:connection id="P_L">
          <x15:rangePr sourceName="_xlcn.WorksheetConnection_BusinessControllerCaseStudy.xlsxP_L1"/>
        </x15:connection>
      </ext>
    </extLst>
  </connection>
  <connection id="6" xr16:uid="{6B40D525-41FC-4272-9E39-68C44B355498}" keepAlive="1" name="Zapytanie — Actuals1" description="Połączenie z zapytaniem „Actuals1” w skoroszycie." type="5" refreshedVersion="8" background="1" saveData="1">
    <dbPr connection="Provider=Microsoft.Mashup.OleDb.1;Data Source=$Workbook$;Location=Actuals1;Extended Properties=&quot;&quot;" command="SELECT * FROM [Actuals1]"/>
  </connection>
  <connection id="7" xr16:uid="{F746AB64-386F-43EB-A37E-7ACC3AD014CE}" keepAlive="1" name="Zapytanie — Budget2" description="Połączenie z zapytaniem „Budget2” w skoroszycie." type="5" refreshedVersion="8" background="1" saveData="1">
    <dbPr connection="Provider=Microsoft.Mashup.OleDb.1;Data Source=$Workbook$;Location=Budget2;Extended Properties=&quot;&quot;" command="SELECT * FROM [Budget2]"/>
  </connection>
  <connection id="8" xr16:uid="{A755E604-41D0-4F0E-9B39-49A657E8D54C}" keepAlive="1" name="Zapytanie — Date" description="Połączenie z zapytaniem „Date” w skoroszycie." type="5" refreshedVersion="8" background="1" saveData="1">
    <dbPr connection="Provider=Microsoft.Mashup.OleDb.1;Data Source=$Workbook$;Location=Date;Extended Properties=&quot;&quot;" command="SELECT * FROM [Date]"/>
  </connection>
  <connection id="9" xr16:uid="{D37BB2BB-B9A7-43EA-8ABA-CC75F2CD66C8}" keepAlive="1" name="Zapytanie — P&amp;L" description="Połączenie z zapytaniem „P&amp;L” w skoroszycie." type="5" refreshedVersion="8" background="1" saveData="1">
    <dbPr connection="Provider=Microsoft.Mashup.OleDb.1;Data Source=$Workbook$;Location=P&amp;L;Extended Properties=&quot;&quot;" command="SELECT * FROM [P&amp;L]"/>
  </connection>
  <connection id="10" xr16:uid="{3B09548A-F378-4DB0-A917-3894E8A197E0}" keepAlive="1" name="Zapytanie — P&amp;L (2)" description="Połączenie z zapytaniem „P&amp;L (2)” w skoroszycie." type="5" refreshedVersion="8" background="1" saveData="1">
    <dbPr connection="Provider=Microsoft.Mashup.OleDb.1;Data Source=$Workbook$;Location=&quot;P&amp;L (2)&quot;;Extended Properties=&quot;&quot;" command="SELECT * FROM [P&amp;L (2)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e].[Year-Month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<sst xmlns="http://schemas.openxmlformats.org/spreadsheetml/2006/main" count="8318" uniqueCount="227">
  <si>
    <t>Account</t>
  </si>
  <si>
    <t>Year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</si>
  <si>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</si>
  <si>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</si>
  <si>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</si>
  <si>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</si>
  <si>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</si>
  <si>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</si>
  <si>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</si>
  <si>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</si>
  <si>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</si>
  <si>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</si>
  <si>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</si>
  <si>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</si>
  <si>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Revenue</t>
  </si>
  <si>
    <t>COGS</t>
  </si>
  <si>
    <t>Gross Profit</t>
  </si>
  <si>
    <t>Marketing</t>
  </si>
  <si>
    <t>Labour</t>
  </si>
  <si>
    <t>Rent</t>
  </si>
  <si>
    <t>Insurances</t>
  </si>
  <si>
    <t>Travel</t>
  </si>
  <si>
    <t>Consulting</t>
  </si>
  <si>
    <t>OPEX</t>
  </si>
  <si>
    <t>EBITDA</t>
  </si>
  <si>
    <t>Payment</t>
  </si>
  <si>
    <t>Warehouse</t>
  </si>
  <si>
    <t>Distribution</t>
  </si>
  <si>
    <t>Name</t>
  </si>
  <si>
    <t>Payment (PayPal)</t>
  </si>
  <si>
    <t>Labour (Bonuses)</t>
  </si>
  <si>
    <t>Labour (Social Contributions)</t>
  </si>
  <si>
    <t>Marketing (Google)</t>
  </si>
  <si>
    <t>Marketing (Meta)</t>
  </si>
  <si>
    <t>Marketing (Flyers)</t>
  </si>
  <si>
    <t>Marketing (TV)</t>
  </si>
  <si>
    <t>Marketing (Print)</t>
  </si>
  <si>
    <t>Revenue (DE)</t>
  </si>
  <si>
    <t>Revenue (PL)</t>
  </si>
  <si>
    <t>Revenue (NL)</t>
  </si>
  <si>
    <t>COGS (DE)</t>
  </si>
  <si>
    <t>COGS (PL)</t>
  </si>
  <si>
    <t>COGS (NL)</t>
  </si>
  <si>
    <t>COGS (Others)</t>
  </si>
  <si>
    <t>Insurance (Cyber Security)</t>
  </si>
  <si>
    <t>Insurance (Legal Protection)</t>
  </si>
  <si>
    <t>Insurance (Others)</t>
  </si>
  <si>
    <t>Consulting (for different IT-Tools)</t>
  </si>
  <si>
    <t>Labour (Salaries)</t>
  </si>
  <si>
    <t>Consulting (BCG, KPMG, etc.)</t>
  </si>
  <si>
    <t>Variable Costs</t>
  </si>
  <si>
    <t>Conribution Profit</t>
  </si>
  <si>
    <t>Distribution (Different Carriers)</t>
  </si>
  <si>
    <t>Payment (Credit Card)</t>
  </si>
  <si>
    <t>Distribution (Package Material)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</si>
  <si>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</si>
  <si>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</si>
  <si>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</si>
  <si>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</si>
  <si>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</si>
  <si>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</si>
  <si>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</si>
  <si>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</si>
  <si>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</si>
  <si>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</si>
  <si>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</si>
  <si>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</si>
  <si>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January2</t>
  </si>
  <si>
    <t>February3</t>
  </si>
  <si>
    <t>March4</t>
  </si>
  <si>
    <t>April5</t>
  </si>
  <si>
    <t>May6</t>
  </si>
  <si>
    <t>June7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</si>
  <si>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</si>
  <si>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</si>
  <si>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</si>
  <si>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</si>
  <si>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</si>
  <si>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</si>
  <si>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</si>
  <si>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</si>
  <si>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</si>
  <si>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</si>
  <si>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</si>
  <si>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</si>
  <si>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Type</t>
  </si>
  <si>
    <t>Type1</t>
  </si>
  <si>
    <t>A. Revenue</t>
  </si>
  <si>
    <t>B. COGS</t>
  </si>
  <si>
    <t>C. Gross Profit</t>
  </si>
  <si>
    <t>D. Variable Costs</t>
  </si>
  <si>
    <t>F. OPEX</t>
  </si>
  <si>
    <t>G. EBITDA</t>
  </si>
  <si>
    <t>E. Contribution Profit</t>
  </si>
  <si>
    <t>Period</t>
  </si>
  <si>
    <t>Value</t>
  </si>
  <si>
    <t>Date</t>
  </si>
  <si>
    <t>Month Number</t>
  </si>
  <si>
    <t>Month</t>
  </si>
  <si>
    <t>Year-Month</t>
  </si>
  <si>
    <t>Quarter</t>
  </si>
  <si>
    <t>Day</t>
  </si>
  <si>
    <t>Month short</t>
  </si>
  <si>
    <t>EndOfMonthDate</t>
  </si>
  <si>
    <t>Q1</t>
  </si>
  <si>
    <t>Jan</t>
  </si>
  <si>
    <t>Feb</t>
  </si>
  <si>
    <t>Mar</t>
  </si>
  <si>
    <t>Q2</t>
  </si>
  <si>
    <t>Apr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</si>
  <si>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</si>
  <si>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</si>
  <si>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</si>
  <si>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</si>
  <si>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</si>
  <si>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</si>
  <si>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</si>
  <si>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</si>
  <si>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</si>
  <si>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Key</t>
  </si>
  <si>
    <t>A. RevenueRevenue (DE)</t>
  </si>
  <si>
    <t>A. RevenueRevenue (PL)</t>
  </si>
  <si>
    <t>A. RevenueRevenue (NL)</t>
  </si>
  <si>
    <t>B. COGSCOGS (DE)</t>
  </si>
  <si>
    <t>B. COGSCOGS (PL)</t>
  </si>
  <si>
    <t>B. COGSCOGS (NL)</t>
  </si>
  <si>
    <t>B. COGSCOGS (Others)</t>
  </si>
  <si>
    <t>D. Variable CostsPaymentPayment (PayPal)</t>
  </si>
  <si>
    <t>D. Variable CostsPaymentPayment (Credit Card)</t>
  </si>
  <si>
    <t>D. Variable CostsWarehouseWarehouse</t>
  </si>
  <si>
    <t>D. Variable CostsDistributionDistribution (Different Carriers)</t>
  </si>
  <si>
    <t>D. Variable CostsDistributionDistribution (Package Material)</t>
  </si>
  <si>
    <t>F. OPEXLabourLabour (Salaries)</t>
  </si>
  <si>
    <t>F. OPEXLabourLabour (Bonuses)</t>
  </si>
  <si>
    <t>F. OPEXLabourLabour (Social Contributions)</t>
  </si>
  <si>
    <t>F. OPEXMarketingMarketing (Google)</t>
  </si>
  <si>
    <t>F. OPEXMarketingMarketing (Meta)</t>
  </si>
  <si>
    <t>F. OPEXMarketingMarketing (Flyers)</t>
  </si>
  <si>
    <t>F. OPEXMarketingMarketing (TV)</t>
  </si>
  <si>
    <t>F. OPEXMarketingMarketing (Print)</t>
  </si>
  <si>
    <t>F. OPEXRentRent</t>
  </si>
  <si>
    <t>F. OPEXConsultingConsulting (BCG, KPMG, etc.)</t>
  </si>
  <si>
    <t>F. OPEXConsultingConsulting (for different IT-Tools)</t>
  </si>
  <si>
    <t>F. OPEXTravelTravel</t>
  </si>
  <si>
    <t>F. OPEXInsurancesInsurance (Cyber Security)</t>
  </si>
  <si>
    <t>F. OPEXInsurancesInsurance (Legal Protection)</t>
  </si>
  <si>
    <t>F. OPEXInsurancesInsurance (Others)</t>
  </si>
  <si>
    <t>Key1</t>
  </si>
  <si>
    <t>Suma końcowa</t>
  </si>
  <si>
    <t>Wartości</t>
  </si>
  <si>
    <t>Actuals</t>
  </si>
  <si>
    <t>Actuals PY</t>
  </si>
  <si>
    <t>Budget</t>
  </si>
  <si>
    <t>Variance to Budget %</t>
  </si>
  <si>
    <t>2025 Suma</t>
  </si>
  <si>
    <t>Q1 Suma</t>
  </si>
  <si>
    <t>Q2 Suma</t>
  </si>
  <si>
    <t>YoY %</t>
  </si>
  <si>
    <t>MoM %</t>
  </si>
  <si>
    <t xml:space="preserve">  </t>
  </si>
  <si>
    <t>A. Revenue Actuals</t>
  </si>
  <si>
    <t>A. Revenue Budget</t>
  </si>
  <si>
    <t>All</t>
  </si>
  <si>
    <t>COGS/COGS PY %</t>
  </si>
  <si>
    <t>COGS/Budget %</t>
  </si>
  <si>
    <t>B. COGS Actuals</t>
  </si>
  <si>
    <t>B. COGS Budget</t>
  </si>
  <si>
    <t>C. Gross Profit Actuals</t>
  </si>
  <si>
    <t>C. Gross Profit Budget</t>
  </si>
  <si>
    <t>D. Variable Costs Actuals</t>
  </si>
  <si>
    <t>D. Variable Costs Budget</t>
  </si>
  <si>
    <t>E. Contribution Profit Actuals</t>
  </si>
  <si>
    <t>E. Contribution Profit Budget</t>
  </si>
  <si>
    <t>F. OPEX Actuals</t>
  </si>
  <si>
    <t>F. OPEX Budget</t>
  </si>
  <si>
    <t>G. EBITDA Actuals</t>
  </si>
  <si>
    <t>G. EBITDA Budget</t>
  </si>
  <si>
    <t>KPI 1</t>
  </si>
  <si>
    <t>KPI 1.1</t>
  </si>
  <si>
    <t>KPI 2</t>
  </si>
  <si>
    <t>Gross Profit Margin/Gross Profit Margin PY %</t>
  </si>
  <si>
    <t>KPI 2.2</t>
  </si>
  <si>
    <t>Gross Profit Margin/Gross Profit Margin Budget %</t>
  </si>
  <si>
    <t>KPI 3</t>
  </si>
  <si>
    <t>EBITDA Margin / EBITDA Margin PY</t>
  </si>
  <si>
    <t>KPI 3.1</t>
  </si>
  <si>
    <t>EBITDA Margin/EBITDA Margin Budget</t>
  </si>
  <si>
    <t>A. Revenue Actuals PY</t>
  </si>
  <si>
    <t>G. EBITDA Actuals PY</t>
  </si>
  <si>
    <t>COGS to Revenue / COGS to Revenue PY</t>
  </si>
  <si>
    <t>COGS to Revenue / COGS to Revenue Budget</t>
  </si>
  <si>
    <t>KPI 4</t>
  </si>
  <si>
    <t>KPI 4.1</t>
  </si>
  <si>
    <t>B. COGS Actuals PY</t>
  </si>
  <si>
    <t xml:space="preserve"> </t>
  </si>
  <si>
    <t>A. Revenue YoY %</t>
  </si>
  <si>
    <t>A. Revenue MoM %</t>
  </si>
  <si>
    <t>A. Revenue Variance to Budget %</t>
  </si>
  <si>
    <t>B. COGS YoY %</t>
  </si>
  <si>
    <t>B. COGS MoM %</t>
  </si>
  <si>
    <t>B. COGS Variance to Budget %</t>
  </si>
  <si>
    <t>C. Gross Profit YoY %</t>
  </si>
  <si>
    <t>C. Gross Profit MoM %</t>
  </si>
  <si>
    <t>C. Gross Profit Variance to Budget %</t>
  </si>
  <si>
    <t>D. Variable Costs YoY %</t>
  </si>
  <si>
    <t>D. Variable Costs MoM %</t>
  </si>
  <si>
    <t>D. Variable Costs Variance to Budget %</t>
  </si>
  <si>
    <t>E. Contribution Profit YoY %</t>
  </si>
  <si>
    <t>E. Contribution Profit MoM %</t>
  </si>
  <si>
    <t>E. Contribution Profit Variance to Budget %</t>
  </si>
  <si>
    <t>F. OPEX YoY %</t>
  </si>
  <si>
    <t>F. OPEX MoM %</t>
  </si>
  <si>
    <t>F. OPEX Variance to Budget %</t>
  </si>
  <si>
    <t>G. EBITDA YoY %</t>
  </si>
  <si>
    <t>G. EBITDA MoM %</t>
  </si>
  <si>
    <t>G. EBITDA Variance to Budget %</t>
  </si>
  <si>
    <t>C. Gross Profit Actuals PY</t>
  </si>
  <si>
    <t>D. Variable Costs Actuals PY</t>
  </si>
  <si>
    <t>E. Contribution Profit Actuals PY</t>
  </si>
  <si>
    <t>F. OPEX Actuals PY</t>
  </si>
  <si>
    <t>KPI</t>
  </si>
  <si>
    <t>Jan Suma</t>
  </si>
  <si>
    <t>Feb Suma</t>
  </si>
  <si>
    <t>Mar Suma</t>
  </si>
  <si>
    <t>Apr Suma</t>
  </si>
  <si>
    <t>May Suma</t>
  </si>
  <si>
    <t>Jun 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</si>
</sst>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;;;"/>
    <numFmt numFmtId="165" formatCode="0.0%"/>
    <numFmt numFmtId="166" formatCode="0%;\-0%;0%"/>
    <numFmt numFmtId="167" formatCode="#,##0%;\-#,##0%;#,##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12236"/>
      <name val="Segoe UI"/>
      <family val="2"/>
    </font>
    <font>
      <sz val="14"/>
      <color rgb="FF212236"/>
      <name val="Segoe UI"/>
      <family val="2"/>
    </font>
    <font>
      <sz val="11"/>
      <color rgb="FF212236"/>
      <name val="Segoe UI"/>
      <family val="2"/>
    </font>
    <font>
      <sz val="10"/>
      <color rgb="FFCBD5E0"/>
      <name val="Segoe UI"/>
      <family val="2"/>
    </font>
    <font>
      <sz val="10"/>
      <color rgb="FF637381"/>
      <name val="Segoe UI"/>
      <family val="2"/>
    </font>
    <font>
      <b/>
      <sz val="10"/>
      <color rgb="FF212236"/>
      <name val="Segoe UI"/>
      <family val="2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9" tint="0.79998168889431442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CBD5E0"/>
      </top>
      <bottom/>
      <diagonal/>
    </border>
    <border>
      <left/>
      <right/>
      <top/>
      <bottom style="thin">
        <color rgb="FFCBD5E0"/>
      </bottom>
      <diagonal/>
    </border>
    <border>
      <left style="thin">
        <color rgb="FF919EAB"/>
      </left>
      <right style="thin">
        <color rgb="FF919EAB"/>
      </right>
      <top style="thin">
        <color rgb="FF919EAB"/>
      </top>
      <bottom style="thin">
        <color rgb="FF919EAB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7">
    <xf numFmtId="0" fontId="0" fillId="0" borderId="0"/>
    <xf numFmtId="9" fontId="1" fillId="0" borderId="0" applyFont="0" applyFill="0" applyBorder="0" applyAlignment="0" applyProtection="0"/>
    <xf numFmtId="0" fontId="4" fillId="0" borderId="2"/>
    <xf numFmtId="0" fontId="5" fillId="0" borderId="0"/>
    <xf numFmtId="0" fontId="6" fillId="0" borderId="0"/>
    <xf numFmtId="0" fontId="7" fillId="0" borderId="0"/>
    <xf numFmtId="0" fontId="4" fillId="0" borderId="3"/>
    <xf numFmtId="0" fontId="8" fillId="0" borderId="0">
      <alignment horizontal="center"/>
    </xf>
    <xf numFmtId="0" fontId="4" fillId="0" borderId="4">
      <alignment horizontal="center"/>
    </xf>
    <xf numFmtId="0" fontId="4" fillId="0" borderId="5"/>
    <xf numFmtId="0" fontId="4" fillId="0" borderId="0">
      <alignment horizontal="right"/>
    </xf>
    <xf numFmtId="164" fontId="4" fillId="0" borderId="0">
      <alignment horizontal="right"/>
    </xf>
    <xf numFmtId="0" fontId="4" fillId="0" borderId="0"/>
    <xf numFmtId="164" fontId="4" fillId="0" borderId="0"/>
    <xf numFmtId="3" fontId="4" fillId="0" borderId="0"/>
    <xf numFmtId="0" fontId="9" fillId="0" borderId="0"/>
    <xf numFmtId="0" fontId="9" fillId="0" borderId="0"/>
  </cellStyleXfs>
  <cellXfs count="29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3" fontId="0" fillId="0" borderId="0" xfId="0" applyNumberFormat="1"/>
    <xf numFmtId="3" fontId="2" fillId="0" borderId="1" xfId="0" applyNumberFormat="1" applyFont="1" applyBorder="1"/>
    <xf numFmtId="165" fontId="0" fillId="0" borderId="0" xfId="1" applyNumberFormat="1" applyFont="1"/>
    <xf numFmtId="0" fontId="10" fillId="0" borderId="0" xfId="0" applyFont="1"/>
    <xf numFmtId="3" fontId="2" fillId="0" borderId="6" xfId="0" applyNumberFormat="1" applyFont="1" applyBorder="1"/>
    <xf numFmtId="0" fontId="2" fillId="0" borderId="6" xfId="0" applyFont="1" applyBorder="1"/>
    <xf numFmtId="1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2" borderId="7" xfId="0" applyFill="1" applyBorder="1"/>
    <xf numFmtId="0" fontId="0" fillId="0" borderId="7" xfId="0" applyBorder="1"/>
    <xf numFmtId="166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/>
    <xf numFmtId="0" fontId="0" fillId="3" borderId="0" xfId="0" applyFill="1"/>
    <xf numFmtId="0" fontId="0" fillId="4" borderId="7" xfId="0" applyFill="1" applyBorder="1"/>
    <xf numFmtId="0" fontId="0" fillId="3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7">
    <cellStyle name="Normalny" xfId="0" builtinId="0"/>
    <cellStyle name="Procentowy" xfId="1" builtinId="5"/>
    <cellStyle name="WhiteColumn" xfId="10" xr:uid="{27F98769-B3B3-486C-B628-7C66529D460B}"/>
    <cellStyle name="WhiteColumnHidden" xfId="11" xr:uid="{D9E87CD1-0E3E-4804-9D1C-BEE72B181F1D}"/>
    <cellStyle name="WhiteColumnSpacer" xfId="9" xr:uid="{1F17D200-DA9C-43A8-9C8C-D5A3960CC2CA}"/>
    <cellStyle name="WhiteData" xfId="14" xr:uid="{5DDBE5D5-B4E4-4E7B-AD4A-5CF3CA4FDA23}"/>
    <cellStyle name="WhiteHeaderDimension" xfId="7" xr:uid="{ACDF595E-FC21-40F7-A4F5-FF386CD57150}"/>
    <cellStyle name="WhiteHeaderElement" xfId="8" xr:uid="{4B9123D2-6617-414C-B397-DB1B1B9B0CA9}"/>
    <cellStyle name="WhiteHeaderSpacer" xfId="6" xr:uid="{91A7F096-E309-4F76-BD1B-ABB9BBE6B1A4}"/>
    <cellStyle name="WhiteRow" xfId="12" xr:uid="{F836E9FA-DD16-491B-AF5E-4D8C674F3231}"/>
    <cellStyle name="WhiteRowCollapsed" xfId="16" xr:uid="{9011B70B-B8DE-47AC-ADB0-5FDD149A8D7A}"/>
    <cellStyle name="WhiteRowExpanded" xfId="15" xr:uid="{1FE87CB8-60AE-4C94-B628-648B2E712097}"/>
    <cellStyle name="WhiteRowHidden" xfId="13" xr:uid="{119096FC-AFAC-4A2D-9DD6-88553F1B2BA5}"/>
    <cellStyle name="WhiteSource" xfId="5" xr:uid="{D46DE919-9523-49B1-9AE8-E3AEE330DF01}"/>
    <cellStyle name="WhiteSubTitle" xfId="4" xr:uid="{7A375D20-58FB-43A6-A1BE-5E23CEF739C7}"/>
    <cellStyle name="WhiteTitle" xfId="3" xr:uid="{E1C14B4E-4C6B-4F94-AC38-DB94E759C6A3}"/>
    <cellStyle name="WhiteTitleSpacer" xfId="2" xr:uid="{C172AD0F-C226-49FA-B9AB-BA9687C5873E}"/>
  </cellStyles>
  <dxfs count="6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theme="5"/>
        </patternFill>
      </fill>
    </dxf>
    <dxf>
      <numFmt numFmtId="168" formatCode="m/d/yyyy"/>
    </dxf>
    <dxf>
      <numFmt numFmtId="0" formatCode="General"/>
    </dxf>
    <dxf>
      <numFmt numFmtId="0" formatCode="General"/>
    </dxf>
    <dxf>
      <numFmt numFmtId="168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m/d/yyyy"/>
    </dxf>
    <dxf>
      <numFmt numFmtId="168" formatCode="m/d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  <dxf>
      <alignment horizontal="center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color theme="1"/>
      </font>
      <fill>
        <patternFill patternType="solid">
          <fgColor theme="4" tint="0.59999389629810485"/>
          <bgColor theme="4" tint="0.59999389629810485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4" tint="0.7999816888943144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8" tint="0.59996337778862885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color theme="1"/>
      </font>
      <fill>
        <patternFill>
          <bgColor theme="8" tint="0.39994506668294322"/>
        </patternFill>
      </fill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4" tint="0.39997558519241921"/>
        </left>
        <right style="thin">
          <color theme="4" tint="0.39997558519241921"/>
        </right>
      </border>
    </dxf>
    <dxf>
      <border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/>
        <i val="0"/>
        <color theme="1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StyleMedium9 2" table="0" count="17" xr9:uid="{3626EC9C-E0A3-4187-A346-943524FDC7A0}">
      <tableStyleElement type="wholeTable" dxfId="64"/>
      <tableStyleElement type="headerRow" dxfId="63"/>
      <tableStyleElement type="totalRow" dxfId="62"/>
      <tableStyleElement type="firstRowStripe" dxfId="61"/>
      <tableStyleElement type="firstColumnStripe" dxfId="60"/>
      <tableStyleElement type="firstSubtotalColumn" dxfId="59"/>
      <tableStyleElement type="secondSubtotalColumn" dxfId="58"/>
      <tableStyleElement type="thirdSubtotalColumn" dxfId="57"/>
      <tableStyleElement type="firstSubtotalRow" dxfId="56"/>
      <tableStyleElement type="secondSubtotalRow" dxfId="55"/>
      <tableStyleElement type="thirdSubtotalRow" dxfId="54"/>
      <tableStyleElement type="firstColumnSubheading" dxfId="53"/>
      <tableStyleElement type="secondColumnSubheading" dxfId="52"/>
      <tableStyleElement type="thirdColumnSubheading" dxfId="51"/>
      <tableStyleElement type="firstRowSubheading" dxfId="50"/>
      <tableStyleElement type="pageFieldLabels" dxfId="49"/>
      <tableStyleElement type="pageFieldValues" dxfId="48"/>
    </tableStyle>
    <tableStyle name="Styl tabeli przestawnej 1" table="0" count="1" xr9:uid="{967B9F5B-5719-44FC-BDD4-F36A20053EBF}">
      <tableStyleElement type="wholeTabl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6.xml"/><Relationship Id="rId21" Type="http://schemas.openxmlformats.org/officeDocument/2006/relationships/pivotCacheDefinition" Target="pivotCache/pivotCacheDefinition1.xml"/><Relationship Id="rId42" Type="http://schemas.openxmlformats.org/officeDocument/2006/relationships/connections" Target="connections.xml"/><Relationship Id="rId47" Type="http://schemas.microsoft.com/office/2017/10/relationships/person" Target="persons/person.xml"/><Relationship Id="rId63" Type="http://schemas.openxmlformats.org/officeDocument/2006/relationships/customXml" Target="../customXml/item15.xml"/><Relationship Id="rId68" Type="http://schemas.openxmlformats.org/officeDocument/2006/relationships/customXml" Target="../customXml/item20.xml"/><Relationship Id="rId16" Type="http://schemas.openxmlformats.org/officeDocument/2006/relationships/worksheet" Target="worksheets/sheet13.xml"/><Relationship Id="rId11" Type="http://schemas.openxmlformats.org/officeDocument/2006/relationships/worksheet" Target="worksheets/sheet8.xml"/><Relationship Id="rId24" Type="http://schemas.openxmlformats.org/officeDocument/2006/relationships/pivotCacheDefinition" Target="pivotCache/pivotCacheDefinition4.xml"/><Relationship Id="rId32" Type="http://schemas.microsoft.com/office/2007/relationships/slicerCache" Target="slicerCaches/slicerCache4.xml"/><Relationship Id="rId37" Type="http://schemas.openxmlformats.org/officeDocument/2006/relationships/pivotCacheDefinition" Target="pivotCache/pivotCacheDefinition11.xml"/><Relationship Id="rId40" Type="http://schemas.microsoft.com/office/2011/relationships/timelineCache" Target="timelineCaches/timelineCache3.xml"/><Relationship Id="rId45" Type="http://schemas.openxmlformats.org/officeDocument/2006/relationships/sheetMetadata" Target="metadata.xml"/><Relationship Id="rId53" Type="http://schemas.openxmlformats.org/officeDocument/2006/relationships/customXml" Target="../customXml/item5.xml"/><Relationship Id="rId58" Type="http://schemas.openxmlformats.org/officeDocument/2006/relationships/customXml" Target="../customXml/item10.xml"/><Relationship Id="rId66" Type="http://schemas.openxmlformats.org/officeDocument/2006/relationships/customXml" Target="../customXml/item18.xml"/><Relationship Id="rId74" Type="http://schemas.openxmlformats.org/officeDocument/2006/relationships/customXml" Target="../customXml/item26.xml"/><Relationship Id="rId79" Type="http://schemas.openxmlformats.org/officeDocument/2006/relationships/customXml" Target="../customXml/item31.xml"/><Relationship Id="rId5" Type="http://schemas.openxmlformats.org/officeDocument/2006/relationships/worksheet" Target="worksheets/sheet4.xml"/><Relationship Id="rId61" Type="http://schemas.openxmlformats.org/officeDocument/2006/relationships/customXml" Target="../customXml/item13.xml"/><Relationship Id="rId19" Type="http://schemas.openxmlformats.org/officeDocument/2006/relationships/worksheet" Target="worksheets/sheet16.xml"/><Relationship Id="rId14" Type="http://schemas.openxmlformats.org/officeDocument/2006/relationships/worksheet" Target="worksheets/sheet11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microsoft.com/office/2007/relationships/slicerCache" Target="slicerCaches/slicerCache2.xml"/><Relationship Id="rId35" Type="http://schemas.openxmlformats.org/officeDocument/2006/relationships/pivotCacheDefinition" Target="pivotCache/pivotCacheDefinition9.xml"/><Relationship Id="rId43" Type="http://schemas.openxmlformats.org/officeDocument/2006/relationships/styles" Target="styles.xml"/><Relationship Id="rId48" Type="http://schemas.openxmlformats.org/officeDocument/2006/relationships/calcChain" Target="calcChain.xml"/><Relationship Id="rId56" Type="http://schemas.openxmlformats.org/officeDocument/2006/relationships/customXml" Target="../customXml/item8.xml"/><Relationship Id="rId64" Type="http://schemas.openxmlformats.org/officeDocument/2006/relationships/customXml" Target="../customXml/item16.xml"/><Relationship Id="rId69" Type="http://schemas.openxmlformats.org/officeDocument/2006/relationships/customXml" Target="../customXml/item21.xml"/><Relationship Id="rId77" Type="http://schemas.openxmlformats.org/officeDocument/2006/relationships/customXml" Target="../customXml/item29.xml"/><Relationship Id="rId8" Type="http://schemas.openxmlformats.org/officeDocument/2006/relationships/chartsheet" Target="chartsheets/sheet3.xml"/><Relationship Id="rId51" Type="http://schemas.openxmlformats.org/officeDocument/2006/relationships/customXml" Target="../customXml/item3.xml"/><Relationship Id="rId72" Type="http://schemas.openxmlformats.org/officeDocument/2006/relationships/customXml" Target="../customXml/item2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25" Type="http://schemas.openxmlformats.org/officeDocument/2006/relationships/pivotCacheDefinition" Target="pivotCache/pivotCacheDefinition5.xml"/><Relationship Id="rId33" Type="http://schemas.microsoft.com/office/2007/relationships/slicerCache" Target="slicerCaches/slicerCache5.xml"/><Relationship Id="rId38" Type="http://schemas.microsoft.com/office/2011/relationships/timelineCache" Target="timelineCaches/timelineCache1.xml"/><Relationship Id="rId46" Type="http://schemas.openxmlformats.org/officeDocument/2006/relationships/powerPivotData" Target="model/item.data"/><Relationship Id="rId59" Type="http://schemas.openxmlformats.org/officeDocument/2006/relationships/customXml" Target="../customXml/item11.xml"/><Relationship Id="rId67" Type="http://schemas.openxmlformats.org/officeDocument/2006/relationships/customXml" Target="../customXml/item19.xml"/><Relationship Id="rId20" Type="http://schemas.openxmlformats.org/officeDocument/2006/relationships/worksheet" Target="worksheets/sheet17.xml"/><Relationship Id="rId41" Type="http://schemas.openxmlformats.org/officeDocument/2006/relationships/theme" Target="theme/theme1.xml"/><Relationship Id="rId54" Type="http://schemas.openxmlformats.org/officeDocument/2006/relationships/customXml" Target="../customXml/item6.xml"/><Relationship Id="rId62" Type="http://schemas.openxmlformats.org/officeDocument/2006/relationships/customXml" Target="../customXml/item14.xml"/><Relationship Id="rId70" Type="http://schemas.openxmlformats.org/officeDocument/2006/relationships/customXml" Target="../customXml/item22.xml"/><Relationship Id="rId75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5" Type="http://schemas.openxmlformats.org/officeDocument/2006/relationships/worksheet" Target="worksheets/sheet12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36" Type="http://schemas.openxmlformats.org/officeDocument/2006/relationships/pivotCacheDefinition" Target="pivotCache/pivotCacheDefinition10.xml"/><Relationship Id="rId49" Type="http://schemas.openxmlformats.org/officeDocument/2006/relationships/customXml" Target="../customXml/item1.xml"/><Relationship Id="rId57" Type="http://schemas.openxmlformats.org/officeDocument/2006/relationships/customXml" Target="../customXml/item9.xml"/><Relationship Id="rId10" Type="http://schemas.openxmlformats.org/officeDocument/2006/relationships/worksheet" Target="worksheets/sheet7.xml"/><Relationship Id="rId31" Type="http://schemas.microsoft.com/office/2007/relationships/slicerCache" Target="slicerCaches/slicerCache3.xml"/><Relationship Id="rId44" Type="http://schemas.openxmlformats.org/officeDocument/2006/relationships/sharedStrings" Target="sharedStrings.xml"/><Relationship Id="rId52" Type="http://schemas.openxmlformats.org/officeDocument/2006/relationships/customXml" Target="../customXml/item4.xml"/><Relationship Id="rId60" Type="http://schemas.openxmlformats.org/officeDocument/2006/relationships/customXml" Target="../customXml/item12.xml"/><Relationship Id="rId65" Type="http://schemas.openxmlformats.org/officeDocument/2006/relationships/customXml" Target="../customXml/item17.xml"/><Relationship Id="rId73" Type="http://schemas.openxmlformats.org/officeDocument/2006/relationships/customXml" Target="../customXml/item25.xml"/><Relationship Id="rId78" Type="http://schemas.openxmlformats.org/officeDocument/2006/relationships/customXml" Target="../customXml/item30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3" Type="http://schemas.openxmlformats.org/officeDocument/2006/relationships/worksheet" Target="worksheets/sheet10.xml"/><Relationship Id="rId18" Type="http://schemas.openxmlformats.org/officeDocument/2006/relationships/worksheet" Target="worksheets/sheet15.xml"/><Relationship Id="rId39" Type="http://schemas.microsoft.com/office/2011/relationships/timelineCache" Target="timelineCaches/timelineCache2.xml"/><Relationship Id="rId34" Type="http://schemas.microsoft.com/office/2007/relationships/slicerCache" Target="slicerCaches/slicerCache6.xml"/><Relationship Id="rId50" Type="http://schemas.openxmlformats.org/officeDocument/2006/relationships/customXml" Target="../customXml/item2.xml"/><Relationship Id="rId55" Type="http://schemas.openxmlformats.org/officeDocument/2006/relationships/customXml" Target="../customXml/item7.xml"/><Relationship Id="rId76" Type="http://schemas.openxmlformats.org/officeDocument/2006/relationships/customXml" Target="../customXml/item28.xml"/><Relationship Id="rId7" Type="http://schemas.openxmlformats.org/officeDocument/2006/relationships/worksheet" Target="worksheets/sheet5.xml"/><Relationship Id="rId71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29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Controller - Case Study.xlsx]data for charts!KPIs1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77715047681214"/>
          <c:y val="6.4449519654053308E-2"/>
          <c:w val="0.64626120611282245"/>
          <c:h val="0.556168028421760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for charts'!$Z$3</c:f>
              <c:strCache>
                <c:ptCount val="1"/>
                <c:pt idx="0">
                  <c:v>COGS/COGS PY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'data for charts'!$W$4:$Y$13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charts'!$Z$4:$Z$13</c:f>
              <c:numCache>
                <c:formatCode>#\ ##0%;\-#\ ##0%;#\ ##0%</c:formatCode>
                <c:ptCount val="6"/>
                <c:pt idx="0">
                  <c:v>1.016471612503828</c:v>
                </c:pt>
                <c:pt idx="1">
                  <c:v>1.0177270345285965</c:v>
                </c:pt>
                <c:pt idx="2">
                  <c:v>0.89729136450217228</c:v>
                </c:pt>
                <c:pt idx="3">
                  <c:v>0.72656334817070056</c:v>
                </c:pt>
                <c:pt idx="4">
                  <c:v>0.85673413769402096</c:v>
                </c:pt>
                <c:pt idx="5">
                  <c:v>0.95925329497682554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4F3-4A42-93CB-60C889915795}"/>
            </c:ext>
          </c:extLst>
        </c:ser>
        <c:ser>
          <c:idx val="1"/>
          <c:order val="1"/>
          <c:tx>
            <c:strRef>
              <c:f>'data for charts'!$AA$3</c:f>
              <c:strCache>
                <c:ptCount val="1"/>
                <c:pt idx="0">
                  <c:v>COGS/Budget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'data for charts'!$W$4:$Y$13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charts'!$AA$4:$AA$13</c:f>
              <c:numCache>
                <c:formatCode>0%;\-0%;0%</c:formatCode>
                <c:ptCount val="6"/>
                <c:pt idx="0">
                  <c:v>0.98253199641809097</c:v>
                </c:pt>
                <c:pt idx="1">
                  <c:v>0.9845699804215241</c:v>
                </c:pt>
                <c:pt idx="2">
                  <c:v>0.86683968493388319</c:v>
                </c:pt>
                <c:pt idx="3">
                  <c:v>0.70008249258518629</c:v>
                </c:pt>
                <c:pt idx="4">
                  <c:v>0.82626601020883339</c:v>
                </c:pt>
                <c:pt idx="5">
                  <c:v>0.93569495006313763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4F3-4A42-93CB-60C889915795}"/>
            </c:ext>
          </c:extLst>
        </c:ser>
        <c:ser>
          <c:idx val="2"/>
          <c:order val="2"/>
          <c:tx>
            <c:strRef>
              <c:f>'data for charts'!$AB$3</c:f>
              <c:strCache>
                <c:ptCount val="1"/>
                <c:pt idx="0">
                  <c:v>Gross Profit Margin/Gross Profit Margin PY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'data for charts'!$W$4:$Y$13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charts'!$AB$4:$AB$13</c:f>
              <c:numCache>
                <c:formatCode>0%;\-0%;0%</c:formatCode>
                <c:ptCount val="6"/>
                <c:pt idx="0">
                  <c:v>1.0063105329925386</c:v>
                </c:pt>
                <c:pt idx="1">
                  <c:v>1.0049133579517775</c:v>
                </c:pt>
                <c:pt idx="2">
                  <c:v>1.0150877483543317</c:v>
                </c:pt>
                <c:pt idx="3">
                  <c:v>1.0132700752062294</c:v>
                </c:pt>
                <c:pt idx="4">
                  <c:v>1.0185440341316909</c:v>
                </c:pt>
                <c:pt idx="5">
                  <c:v>1.0182331339538178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4F3-4A42-93CB-60C889915795}"/>
            </c:ext>
          </c:extLst>
        </c:ser>
        <c:ser>
          <c:idx val="3"/>
          <c:order val="3"/>
          <c:tx>
            <c:strRef>
              <c:f>'data for charts'!$AC$3</c:f>
              <c:strCache>
                <c:ptCount val="1"/>
                <c:pt idx="0">
                  <c:v>Gross Profit Margin/Gross Profit Margin Budget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'data for charts'!$W$4:$Y$13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charts'!$AC$4:$AC$13</c:f>
              <c:numCache>
                <c:formatCode>0%;\-0%;0%</c:formatCode>
                <c:ptCount val="6"/>
                <c:pt idx="0">
                  <c:v>0.97299380278753955</c:v>
                </c:pt>
                <c:pt idx="1">
                  <c:v>0.97242219653600259</c:v>
                </c:pt>
                <c:pt idx="2">
                  <c:v>0.98578518737370058</c:v>
                </c:pt>
                <c:pt idx="3">
                  <c:v>0.98958776018922268</c:v>
                </c:pt>
                <c:pt idx="4">
                  <c:v>0.99620336395731379</c:v>
                </c:pt>
                <c:pt idx="5">
                  <c:v>0.98263240217134851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4F3-4A42-93CB-60C889915795}"/>
            </c:ext>
          </c:extLst>
        </c:ser>
        <c:ser>
          <c:idx val="6"/>
          <c:order val="6"/>
          <c:tx>
            <c:strRef>
              <c:f>'data for charts'!$AF$3</c:f>
              <c:strCache>
                <c:ptCount val="1"/>
                <c:pt idx="0">
                  <c:v>COGS to Revenue / COGS to Revenue PY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'data for charts'!$W$4:$Y$13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charts'!$AF$4:$AF$13</c:f>
              <c:numCache>
                <c:formatCode>0%;\-0%;0%</c:formatCode>
                <c:ptCount val="6"/>
                <c:pt idx="0">
                  <c:v>0.99603925474385213</c:v>
                </c:pt>
                <c:pt idx="1">
                  <c:v>0.99689141475067389</c:v>
                </c:pt>
                <c:pt idx="2">
                  <c:v>0.990440028480293</c:v>
                </c:pt>
                <c:pt idx="3">
                  <c:v>0.99149061448924392</c:v>
                </c:pt>
                <c:pt idx="4">
                  <c:v>0.98811085378182861</c:v>
                </c:pt>
                <c:pt idx="5">
                  <c:v>0.98857101769411138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4F3-4A42-93CB-60C889915795}"/>
            </c:ext>
          </c:extLst>
        </c:ser>
        <c:ser>
          <c:idx val="7"/>
          <c:order val="7"/>
          <c:tx>
            <c:strRef>
              <c:f>'data for charts'!$AG$3</c:f>
              <c:strCache>
                <c:ptCount val="1"/>
                <c:pt idx="0">
                  <c:v>COGS to Revenue / COGS to Revenue Budget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'data for charts'!$W$4:$Y$13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charts'!$AG$4:$AG$13</c:f>
              <c:numCache>
                <c:formatCode>0%;\-0%;0%</c:formatCode>
                <c:ptCount val="6"/>
                <c:pt idx="0">
                  <c:v>1.0179156086584831</c:v>
                </c:pt>
                <c:pt idx="1">
                  <c:v>1.0184203128522933</c:v>
                </c:pt>
                <c:pt idx="2">
                  <c:v>1.0094526235178405</c:v>
                </c:pt>
                <c:pt idx="3">
                  <c:v>1.0069431447785477</c:v>
                </c:pt>
                <c:pt idx="4">
                  <c:v>1.0025250313658234</c:v>
                </c:pt>
                <c:pt idx="5">
                  <c:v>1.0115429977244137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4F3-4A42-93CB-60C889915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546752"/>
        <c:axId val="1015547712"/>
      </c:barChart>
      <c:lineChart>
        <c:grouping val="standard"/>
        <c:varyColors val="0"/>
        <c:ser>
          <c:idx val="4"/>
          <c:order val="4"/>
          <c:tx>
            <c:strRef>
              <c:f>'data for charts'!$AD$3</c:f>
              <c:strCache>
                <c:ptCount val="1"/>
                <c:pt idx="0">
                  <c:v>EBITDA Margin / EBITDA Margin PY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'data for charts'!$W$4:$Y$13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charts'!$AD$4:$AD$13</c:f>
              <c:numCache>
                <c:formatCode>0%;\-0%;0%</c:formatCode>
                <c:ptCount val="6"/>
                <c:pt idx="0">
                  <c:v>-33.976982050800359</c:v>
                </c:pt>
                <c:pt idx="1">
                  <c:v>0.29838670608055368</c:v>
                </c:pt>
                <c:pt idx="2">
                  <c:v>0.5724520542767001</c:v>
                </c:pt>
                <c:pt idx="3">
                  <c:v>0.26743976190781044</c:v>
                </c:pt>
                <c:pt idx="4">
                  <c:v>0.51931281457586564</c:v>
                </c:pt>
                <c:pt idx="5">
                  <c:v>0.40608303287628328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4F3-4A42-93CB-60C889915795}"/>
            </c:ext>
          </c:extLst>
        </c:ser>
        <c:ser>
          <c:idx val="5"/>
          <c:order val="5"/>
          <c:tx>
            <c:strRef>
              <c:f>'data for charts'!$AE$3</c:f>
              <c:strCache>
                <c:ptCount val="1"/>
                <c:pt idx="0">
                  <c:v>EBITDA Margin/EBITDA Margin Budget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'data for charts'!$W$4:$Y$13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charts'!$AE$4:$AE$13</c:f>
              <c:numCache>
                <c:formatCode>0%;\-0%;0%</c:formatCode>
                <c:ptCount val="6"/>
                <c:pt idx="0">
                  <c:v>-2.9676571347901968</c:v>
                </c:pt>
                <c:pt idx="1">
                  <c:v>0.25706116899580844</c:v>
                </c:pt>
                <c:pt idx="2">
                  <c:v>0.5516892749206892</c:v>
                </c:pt>
                <c:pt idx="3">
                  <c:v>0.26985490941555462</c:v>
                </c:pt>
                <c:pt idx="4">
                  <c:v>0.49768089630159634</c:v>
                </c:pt>
                <c:pt idx="5">
                  <c:v>0.34800766810035239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4F3-4A42-93CB-60C889915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84511"/>
        <c:axId val="65682111"/>
      </c:lineChart>
      <c:catAx>
        <c:axId val="101554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5547712"/>
        <c:crosses val="autoZero"/>
        <c:auto val="1"/>
        <c:lblAlgn val="ctr"/>
        <c:lblOffset val="100"/>
        <c:noMultiLvlLbl val="0"/>
      </c:catAx>
      <c:valAx>
        <c:axId val="101554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%;\-#\ ##0%;#\ ##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5546752"/>
        <c:crosses val="autoZero"/>
        <c:crossBetween val="between"/>
      </c:valAx>
      <c:valAx>
        <c:axId val="65682111"/>
        <c:scaling>
          <c:orientation val="minMax"/>
        </c:scaling>
        <c:delete val="0"/>
        <c:axPos val="r"/>
        <c:numFmt formatCode="0%;\-0%;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5684511"/>
        <c:crosses val="max"/>
        <c:crossBetween val="between"/>
      </c:valAx>
      <c:catAx>
        <c:axId val="656845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68211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Controller - Case Study.xlsx]data for charts!PeriodAnalysis1</c:name>
    <c:fmtId val="1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for charts'!$Q$3</c:f>
              <c:strCache>
                <c:ptCount val="1"/>
                <c:pt idx="0">
                  <c:v>YoY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'data for charts'!$K$4:$P$18</c:f>
              <c:multiLvlStrCache>
                <c:ptCount val="6"/>
                <c:lvl>
                  <c:pt idx="0">
                    <c:v>F. OPEX</c:v>
                  </c:pt>
                  <c:pt idx="1">
                    <c:v>F. OPEX</c:v>
                  </c:pt>
                  <c:pt idx="2">
                    <c:v>F. OPEX</c:v>
                  </c:pt>
                  <c:pt idx="3">
                    <c:v>F. OPEX</c:v>
                  </c:pt>
                  <c:pt idx="4">
                    <c:v>F. OPEX</c:v>
                  </c:pt>
                  <c:pt idx="5">
                    <c:v>F. OPEX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charts'!$Q$4:$Q$18</c:f>
              <c:numCache>
                <c:formatCode>0%;\-0%;0%</c:formatCode>
                <c:ptCount val="6"/>
                <c:pt idx="0">
                  <c:v>1.0151039575352585</c:v>
                </c:pt>
                <c:pt idx="1">
                  <c:v>1.0088465600724243</c:v>
                </c:pt>
                <c:pt idx="2">
                  <c:v>0.99691269760567558</c:v>
                </c:pt>
                <c:pt idx="3">
                  <c:v>0.97990542097166411</c:v>
                </c:pt>
                <c:pt idx="4">
                  <c:v>0.97271986016419076</c:v>
                </c:pt>
                <c:pt idx="5">
                  <c:v>0.97521260151015343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58-491F-B266-34D4E1B81D63}"/>
            </c:ext>
          </c:extLst>
        </c:ser>
        <c:ser>
          <c:idx val="1"/>
          <c:order val="1"/>
          <c:tx>
            <c:strRef>
              <c:f>'data for charts'!$R$3</c:f>
              <c:strCache>
                <c:ptCount val="1"/>
                <c:pt idx="0">
                  <c:v>MoM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'data for charts'!$K$4:$P$18</c:f>
              <c:multiLvlStrCache>
                <c:ptCount val="6"/>
                <c:lvl>
                  <c:pt idx="0">
                    <c:v>F. OPEX</c:v>
                  </c:pt>
                  <c:pt idx="1">
                    <c:v>F. OPEX</c:v>
                  </c:pt>
                  <c:pt idx="2">
                    <c:v>F. OPEX</c:v>
                  </c:pt>
                  <c:pt idx="3">
                    <c:v>F. OPEX</c:v>
                  </c:pt>
                  <c:pt idx="4">
                    <c:v>F. OPEX</c:v>
                  </c:pt>
                  <c:pt idx="5">
                    <c:v>F. OPEX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charts'!$R$4:$R$18</c:f>
              <c:numCache>
                <c:formatCode>0%;\-0%;0%</c:formatCode>
                <c:ptCount val="6"/>
                <c:pt idx="0">
                  <c:v>0.95198824027034323</c:v>
                </c:pt>
                <c:pt idx="1">
                  <c:v>0.99313707568790288</c:v>
                </c:pt>
                <c:pt idx="2">
                  <c:v>1.0448685277067733</c:v>
                </c:pt>
                <c:pt idx="3">
                  <c:v>0.97156637420358372</c:v>
                </c:pt>
                <c:pt idx="4">
                  <c:v>0.9591224905637884</c:v>
                </c:pt>
                <c:pt idx="5">
                  <c:v>1.006347023148787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58-491F-B266-34D4E1B81D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274335"/>
        <c:axId val="862268575"/>
      </c:lineChart>
      <c:lineChart>
        <c:grouping val="standard"/>
        <c:varyColors val="0"/>
        <c:ser>
          <c:idx val="2"/>
          <c:order val="2"/>
          <c:tx>
            <c:strRef>
              <c:f>'data for charts'!$S$3</c:f>
              <c:strCache>
                <c:ptCount val="1"/>
                <c:pt idx="0">
                  <c:v>Variance to Budget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'data for charts'!$K$4:$P$18</c:f>
              <c:multiLvlStrCache>
                <c:ptCount val="6"/>
                <c:lvl>
                  <c:pt idx="0">
                    <c:v>F. OPEX</c:v>
                  </c:pt>
                  <c:pt idx="1">
                    <c:v>F. OPEX</c:v>
                  </c:pt>
                  <c:pt idx="2">
                    <c:v>F. OPEX</c:v>
                  </c:pt>
                  <c:pt idx="3">
                    <c:v>F. OPEX</c:v>
                  </c:pt>
                  <c:pt idx="4">
                    <c:v>F. OPEX</c:v>
                  </c:pt>
                  <c:pt idx="5">
                    <c:v>F. OPEX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charts'!$S$4:$S$18</c:f>
              <c:numCache>
                <c:formatCode>0%;\-0%;0%</c:formatCode>
                <c:ptCount val="6"/>
                <c:pt idx="0">
                  <c:v>1.6374804658461806E-3</c:v>
                </c:pt>
                <c:pt idx="1">
                  <c:v>-1.6182768045514629E-3</c:v>
                </c:pt>
                <c:pt idx="2">
                  <c:v>-8.6674591885871639E-3</c:v>
                </c:pt>
                <c:pt idx="3">
                  <c:v>-3.6235525103839379E-2</c:v>
                </c:pt>
                <c:pt idx="4">
                  <c:v>-4.754827664110365E-2</c:v>
                </c:pt>
                <c:pt idx="5">
                  <c:v>-4.1886771420559285E-2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58-491F-B266-34D4E1B81D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837727"/>
        <c:axId val="950844927"/>
      </c:lineChart>
      <c:catAx>
        <c:axId val="86227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2268575"/>
        <c:crosses val="autoZero"/>
        <c:auto val="1"/>
        <c:lblAlgn val="ctr"/>
        <c:lblOffset val="100"/>
        <c:noMultiLvlLbl val="0"/>
      </c:catAx>
      <c:valAx>
        <c:axId val="86226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;\-0%;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2274335"/>
        <c:crosses val="autoZero"/>
        <c:crossBetween val="between"/>
      </c:valAx>
      <c:valAx>
        <c:axId val="950844927"/>
        <c:scaling>
          <c:orientation val="minMax"/>
        </c:scaling>
        <c:delete val="0"/>
        <c:axPos val="r"/>
        <c:numFmt formatCode="0%;\-0%;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0837727"/>
        <c:crosses val="max"/>
        <c:crossBetween val="between"/>
      </c:valAx>
      <c:catAx>
        <c:axId val="950837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0844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65676200899819"/>
          <c:y val="0.4545879022860207"/>
          <c:w val="0.1501410835153702"/>
          <c:h val="0.13642837216572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Controller - Case Study.xlsx]data for charts!Overview1</c:name>
    <c:fmtId val="1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170717385465847E-2"/>
          <c:y val="6.4466929899758788E-2"/>
          <c:w val="0.77317607319334991"/>
          <c:h val="0.66084094957858186"/>
        </c:manualLayout>
      </c:layout>
      <c:lineChart>
        <c:grouping val="standard"/>
        <c:varyColors val="0"/>
        <c:ser>
          <c:idx val="0"/>
          <c:order val="0"/>
          <c:tx>
            <c:strRef>
              <c:f>'data for charts'!$G$3</c:f>
              <c:strCache>
                <c:ptCount val="1"/>
                <c:pt idx="0">
                  <c:v>Actuals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'data for charts'!$A$4:$F$10</c:f>
              <c:multiLvlStrCache>
                <c:ptCount val="6"/>
                <c:lvl>
                  <c:pt idx="0">
                    <c:v>B. COGS</c:v>
                  </c:pt>
                  <c:pt idx="1">
                    <c:v>B. COGS</c:v>
                  </c:pt>
                  <c:pt idx="2">
                    <c:v>B. COGS</c:v>
                  </c:pt>
                  <c:pt idx="3">
                    <c:v>B. COGS</c:v>
                  </c:pt>
                  <c:pt idx="4">
                    <c:v>B. COGS</c:v>
                  </c:pt>
                  <c:pt idx="5">
                    <c:v>B. COGS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charts'!$G$4:$G$10</c:f>
              <c:numCache>
                <c:formatCode>#,##0</c:formatCode>
                <c:ptCount val="6"/>
                <c:pt idx="0">
                  <c:v>11180487.919501809</c:v>
                </c:pt>
                <c:pt idx="1">
                  <c:v>14710137.40487688</c:v>
                </c:pt>
                <c:pt idx="2">
                  <c:v>17618862.723317988</c:v>
                </c:pt>
                <c:pt idx="3">
                  <c:v>13284155.515628163</c:v>
                </c:pt>
                <c:pt idx="4">
                  <c:v>14091384.98308737</c:v>
                </c:pt>
                <c:pt idx="5">
                  <c:v>12846079.263740897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4-5159-479A-9D63-9182CA5E02EE}"/>
            </c:ext>
          </c:extLst>
        </c:ser>
        <c:ser>
          <c:idx val="1"/>
          <c:order val="1"/>
          <c:tx>
            <c:strRef>
              <c:f>'data for charts'!$H$3</c:f>
              <c:strCache>
                <c:ptCount val="1"/>
                <c:pt idx="0">
                  <c:v>Actuals PY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'data for charts'!$A$4:$F$10</c:f>
              <c:multiLvlStrCache>
                <c:ptCount val="6"/>
                <c:lvl>
                  <c:pt idx="0">
                    <c:v>B. COGS</c:v>
                  </c:pt>
                  <c:pt idx="1">
                    <c:v>B. COGS</c:v>
                  </c:pt>
                  <c:pt idx="2">
                    <c:v>B. COGS</c:v>
                  </c:pt>
                  <c:pt idx="3">
                    <c:v>B. COGS</c:v>
                  </c:pt>
                  <c:pt idx="4">
                    <c:v>B. COGS</c:v>
                  </c:pt>
                  <c:pt idx="5">
                    <c:v>B. COGS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charts'!$H$4:$H$10</c:f>
              <c:numCache>
                <c:formatCode>#,##0</c:formatCode>
                <c:ptCount val="6"/>
                <c:pt idx="0">
                  <c:v>10999311.522297632</c:v>
                </c:pt>
                <c:pt idx="1">
                  <c:v>14453912.400676774</c:v>
                </c:pt>
                <c:pt idx="2">
                  <c:v>19635609.36875074</c:v>
                </c:pt>
                <c:pt idx="3">
                  <c:v>18283547.537973456</c:v>
                </c:pt>
                <c:pt idx="4">
                  <c:v>16447792.101544634</c:v>
                </c:pt>
                <c:pt idx="5">
                  <c:v>13391748.906164814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5-5159-479A-9D63-9182CA5E02EE}"/>
            </c:ext>
          </c:extLst>
        </c:ser>
        <c:ser>
          <c:idx val="2"/>
          <c:order val="2"/>
          <c:tx>
            <c:strRef>
              <c:f>'data for charts'!$I$3</c:f>
              <c:strCache>
                <c:ptCount val="1"/>
                <c:pt idx="0">
                  <c:v>Budget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'data for charts'!$A$4:$F$10</c:f>
              <c:multiLvlStrCache>
                <c:ptCount val="6"/>
                <c:lvl>
                  <c:pt idx="0">
                    <c:v>B. COGS</c:v>
                  </c:pt>
                  <c:pt idx="1">
                    <c:v>B. COGS</c:v>
                  </c:pt>
                  <c:pt idx="2">
                    <c:v>B. COGS</c:v>
                  </c:pt>
                  <c:pt idx="3">
                    <c:v>B. COGS</c:v>
                  </c:pt>
                  <c:pt idx="4">
                    <c:v>B. COGS</c:v>
                  </c:pt>
                  <c:pt idx="5">
                    <c:v>B. COGS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'data for charts'!$I$4:$I$10</c:f>
              <c:numCache>
                <c:formatCode>#,##0</c:formatCode>
                <c:ptCount val="6"/>
                <c:pt idx="0">
                  <c:v>11379260.8894787</c:v>
                </c:pt>
                <c:pt idx="1">
                  <c:v>14940672.2705267</c:v>
                </c:pt>
                <c:pt idx="2">
                  <c:v>20325399.297635801</c:v>
                </c:pt>
                <c:pt idx="3">
                  <c:v>18975128.868847899</c:v>
                </c:pt>
                <c:pt idx="4">
                  <c:v>17054295.8429645</c:v>
                </c:pt>
                <c:pt idx="5">
                  <c:v>13728918.022774501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6-5159-479A-9D63-9182CA5E02E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946458047"/>
        <c:axId val="1946458527"/>
      </c:lineChart>
      <c:catAx>
        <c:axId val="194645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6458527"/>
        <c:crosses val="autoZero"/>
        <c:auto val="1"/>
        <c:lblAlgn val="ctr"/>
        <c:lblOffset val="100"/>
        <c:noMultiLvlLbl val="0"/>
      </c:catAx>
      <c:valAx>
        <c:axId val="194645852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645804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66066105018189"/>
          <c:y val="0.39833487642766463"/>
          <c:w val="9.463262636215504E-2"/>
          <c:h val="0.13642837216572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pl-PL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3DBA071-53EA-4B4F-9D91-776E10692BEB}">
  <sheetPr>
    <tabColor rgb="FF92D050"/>
  </sheetPr>
  <sheetViews>
    <sheetView zoomScale="9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F22321-D071-466E-AB98-DF851E417D97}">
  <sheetPr>
    <tabColor rgb="FF92D050"/>
  </sheetPr>
  <sheetViews>
    <sheetView tabSelected="1" zoomScale="9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DE8AFC-DF67-4ABE-9194-1F7E39601B17}">
  <sheetPr>
    <tabColor rgb="FF92D050"/>
  </sheetPr>
  <sheetViews>
    <sheetView zoomScale="99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2</xdr:col>
      <xdr:colOff>641985</xdr:colOff>
      <xdr:row>6</xdr:row>
      <xdr:rowOff>152400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1">
              <a:extLst>
                <a:ext uri="{FF2B5EF4-FFF2-40B4-BE49-F238E27FC236}">
                  <a16:creationId xmlns:a16="http://schemas.microsoft.com/office/drawing/2014/main" id="{AC717222-DAF7-B6B5-A765-6E069147DF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0"/>
              <a:ext cx="4646295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0242" cy="6065212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4804FB-88DF-9488-5DF5-A51FCC5F59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68580</xdr:rowOff>
    </xdr:from>
    <xdr:to>
      <xdr:col>4</xdr:col>
      <xdr:colOff>342900</xdr:colOff>
      <xdr:row>7</xdr:row>
      <xdr:rowOff>160020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2">
              <a:extLst>
                <a:ext uri="{FF2B5EF4-FFF2-40B4-BE49-F238E27FC236}">
                  <a16:creationId xmlns:a16="http://schemas.microsoft.com/office/drawing/2014/main" id="{5834EF7E-EF18-D2AD-582D-C5D1816C9F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" y="68580"/>
              <a:ext cx="4598670" cy="1358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931545</xdr:colOff>
      <xdr:row>0</xdr:row>
      <xdr:rowOff>102871</xdr:rowOff>
    </xdr:from>
    <xdr:to>
      <xdr:col>6</xdr:col>
      <xdr:colOff>762000</xdr:colOff>
      <xdr:row>8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ype 1">
              <a:extLst>
                <a:ext uri="{FF2B5EF4-FFF2-40B4-BE49-F238E27FC236}">
                  <a16:creationId xmlns:a16="http://schemas.microsoft.com/office/drawing/2014/main" id="{B6636DD3-489F-2CF2-C707-E62B168FFC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0195" y="102871"/>
              <a:ext cx="1811655" cy="1421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306705</xdr:colOff>
      <xdr:row>0</xdr:row>
      <xdr:rowOff>78105</xdr:rowOff>
    </xdr:from>
    <xdr:to>
      <xdr:col>11</xdr:col>
      <xdr:colOff>123825</xdr:colOff>
      <xdr:row>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ype1 1">
              <a:extLst>
                <a:ext uri="{FF2B5EF4-FFF2-40B4-BE49-F238E27FC236}">
                  <a16:creationId xmlns:a16="http://schemas.microsoft.com/office/drawing/2014/main" id="{39CC8460-ADDC-F97B-6E1B-4E94AEF6DA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1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7155" y="78105"/>
              <a:ext cx="1836420" cy="1483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472440</xdr:colOff>
      <xdr:row>0</xdr:row>
      <xdr:rowOff>148590</xdr:rowOff>
    </xdr:from>
    <xdr:to>
      <xdr:col>15</xdr:col>
      <xdr:colOff>28575</xdr:colOff>
      <xdr:row>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Name 1">
              <a:extLst>
                <a:ext uri="{FF2B5EF4-FFF2-40B4-BE49-F238E27FC236}">
                  <a16:creationId xmlns:a16="http://schemas.microsoft.com/office/drawing/2014/main" id="{B0D3E583-9634-17C0-8EA7-20B48832D5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2190" y="148590"/>
              <a:ext cx="1689735" cy="1384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0242" cy="6065212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AE85DCB-7ACE-BFC4-8CCE-5704BD2F61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238125</xdr:colOff>
      <xdr:row>6</xdr:row>
      <xdr:rowOff>106680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E8B02223-9DED-8EF3-3C32-6479F34E94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794885" cy="1348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38101</xdr:colOff>
      <xdr:row>0</xdr:row>
      <xdr:rowOff>72390</xdr:rowOff>
    </xdr:from>
    <xdr:to>
      <xdr:col>5</xdr:col>
      <xdr:colOff>704851</xdr:colOff>
      <xdr:row>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ype">
              <a:extLst>
                <a:ext uri="{FF2B5EF4-FFF2-40B4-BE49-F238E27FC236}">
                  <a16:creationId xmlns:a16="http://schemas.microsoft.com/office/drawing/2014/main" id="{7E80F966-DB34-B4AA-3602-A9BA35CE01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2101" y="72390"/>
              <a:ext cx="1657350" cy="1213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108585</xdr:colOff>
      <xdr:row>0</xdr:row>
      <xdr:rowOff>85726</xdr:rowOff>
    </xdr:from>
    <xdr:to>
      <xdr:col>8</xdr:col>
      <xdr:colOff>161926</xdr:colOff>
      <xdr:row>6</xdr:row>
      <xdr:rowOff>66674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ype1">
              <a:extLst>
                <a:ext uri="{FF2B5EF4-FFF2-40B4-BE49-F238E27FC236}">
                  <a16:creationId xmlns:a16="http://schemas.microsoft.com/office/drawing/2014/main" id="{7D4B7418-22C1-861A-2CB1-41C4B2E800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3785" y="85726"/>
              <a:ext cx="1720216" cy="1209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483870</xdr:colOff>
      <xdr:row>0</xdr:row>
      <xdr:rowOff>89536</xdr:rowOff>
    </xdr:from>
    <xdr:to>
      <xdr:col>12</xdr:col>
      <xdr:colOff>266700</xdr:colOff>
      <xdr:row>6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Name">
              <a:extLst>
                <a:ext uri="{FF2B5EF4-FFF2-40B4-BE49-F238E27FC236}">
                  <a16:creationId xmlns:a16="http://schemas.microsoft.com/office/drawing/2014/main" id="{38B45BF9-1EEA-1C52-817D-392B258720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5945" y="89536"/>
              <a:ext cx="2487930" cy="1215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0242" cy="6065212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9B61E1A-935B-3682-1E35-E292BCF033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 Kowalczyk" refreshedDate="46108.757904745369" backgroundQuery="1" createdVersion="8" refreshedVersion="8" minRefreshableVersion="3" recordCount="0" supportSubquery="1" supportAdvancedDrill="1" xr:uid="{9F3680B4-E0B4-4758-9C7E-12851F30BDEC}">
  <cacheSource type="external" connectionId="1"/>
  <cacheFields count="22">
    <cacheField name="[Date].[Hierarchia1].[Year]" caption="Year" numFmtId="0" hierarchy="19" level="1">
      <sharedItems containsSemiMixedTypes="0" containsString="0" containsNumber="1" containsInteger="1" minValue="2025" maxValue="2025" count="1">
        <n v="2025"/>
      </sharedItems>
      <extLst>
        <ext xmlns:x15="http://schemas.microsoft.com/office/spreadsheetml/2010/11/main" uri="{4F2E5C28-24EA-4eb8-9CBF-B6C8F9C3D259}">
          <x15:cachedUniqueNames>
            <x15:cachedUniqueName index="0" name="[Date].[Hierarchia1].[Year].&amp;[2025]"/>
          </x15:cachedUniqueNames>
        </ext>
      </extLst>
    </cacheField>
    <cacheField name="[Date].[Hierarchia1].[Quarter]" caption="Quarter" numFmtId="0" hierarchy="19" level="2">
      <sharedItems containsSemiMixedTypes="0" containsNonDate="0" containsString="0"/>
    </cacheField>
    <cacheField name="[Date].[Hierarchia1].[Year-Month]" caption="Year-Month" numFmtId="0" hierarchy="19" level="3">
      <sharedItems containsSemiMixedTypes="0" containsNonDate="0" containsString="0"/>
    </cacheField>
    <cacheField name="[Measures].[_COGS Status]" caption="_COGS Status" numFmtId="0" hierarchy="71" level="32767"/>
    <cacheField name="[Measures].[COGS/COGS PY %]" caption="COGS/COGS PY %" numFmtId="0" hierarchy="42" level="32767"/>
    <cacheField name="[Measures].[_COGS1 Status]" caption="_COGS1 Status" numFmtId="0" hierarchy="73" level="32767"/>
    <cacheField name="[Measures].[COGS/Budget %]" caption="COGS/Budget %" numFmtId="0" hierarchy="44" level="32767"/>
    <cacheField name="[Measures].[_Gross Profit Margin Status]" caption="_Gross Profit Margin Status" numFmtId="0" hierarchy="75" level="32767"/>
    <cacheField name="[Measures].[Gross Profit Margin/Gross Profit Margin PY %]" caption="Gross Profit Margin/Gross Profit Margin PY %" numFmtId="0" hierarchy="47" level="32767"/>
    <cacheField name="[Measures].[_Gross Profit Margin 1 Status]" caption="_Gross Profit Margin 1 Status" numFmtId="0" hierarchy="77" level="32767"/>
    <cacheField name="[Measures].[Gross Profit Margin/Gross Profit Margin Budget %]" caption="Gross Profit Margin/Gross Profit Margin Budget %" numFmtId="0" hierarchy="48" level="32767"/>
    <cacheField name="[Measures].[_EBITDA Margin Status]" caption="_EBITDA Margin Status" numFmtId="0" hierarchy="79" level="32767"/>
    <cacheField name="[Measures].[EBITDA Margin / EBITDA Margin PY]" caption="EBITDA Margin / EBITDA Margin PY" numFmtId="0" hierarchy="51" level="32767"/>
    <cacheField name="[Measures].[_EBITDA Margin 1 Status]" caption="_EBITDA Margin 1 Status" numFmtId="0" hierarchy="81" level="32767"/>
    <cacheField name="[Measures].[EBITDA Margin/EBITDA Margin Budget]" caption="EBITDA Margin/EBITDA Margin Budget" numFmtId="0" hierarchy="52" level="32767"/>
    <cacheField name="[Measures].[_COGS to Revenue Status]" caption="_COGS to Revenue Status" numFmtId="0" hierarchy="83" level="32767"/>
    <cacheField name="[Measures].[COGS to Revenue / COGS to Revenue PY]" caption="COGS to Revenue / COGS to Revenue PY" numFmtId="0" hierarchy="55" level="32767"/>
    <cacheField name="[Measures].[_COGS to Revenue 1 Status]" caption="_COGS to Revenue 1 Status" numFmtId="0" hierarchy="85" level="32767"/>
    <cacheField name="[Measures].[COGS to Revenue / COGS to Revenue Budget]" caption="COGS to Revenue / COGS to Revenue Budget" numFmtId="0" hierarchy="56" level="32767"/>
    <cacheField name="[Date].[Year].[Year]" caption="Year" numFmtId="0" hierarchy="17" level="1">
      <sharedItems containsSemiMixedTypes="0" containsString="0" containsNumber="1" containsInteger="1" minValue="2025" maxValue="2025" count="1">
        <n v="2025"/>
      </sharedItems>
      <extLst>
        <ext xmlns:x15="http://schemas.microsoft.com/office/spreadsheetml/2010/11/main" uri="{4F2E5C28-24EA-4eb8-9CBF-B6C8F9C3D259}">
          <x15:cachedUniqueNames>
            <x15:cachedUniqueName index="0" name="[Date].[Year].&amp;[2025]"/>
          </x15:cachedUniqueNames>
        </ext>
      </extLst>
    </cacheField>
    <cacheField name="[Date].[Quarter].[Quarter]" caption="Quarter" numFmtId="0" hierarchy="22" level="1">
      <sharedItems count="2">
        <s v="Q1"/>
        <s v="Q2"/>
      </sharedItems>
    </cacheField>
    <cacheField name="[Date].[Month short].[Month short]" caption="Month short" numFmtId="0" hierarchy="24" level="1">
      <sharedItems count="6">
        <s v="Jan"/>
        <s v="Feb"/>
        <s v="Mar"/>
        <s v="Apr"/>
        <s v="May"/>
        <s v="Jun"/>
      </sharedItems>
    </cacheField>
  </cacheFields>
  <cacheHierarchies count="86">
    <cacheHierarchy uniqueName="[Actuals1_1].[Account]" caption="Account" attribute="1" defaultMemberUniqueName="[Actuals1_1].[Account].[All]" allUniqueName="[Actuals1_1].[Account].[All]" dimensionUniqueName="[Actuals1_1]" displayFolder="" count="0" memberValueDatatype="5" unbalanced="0"/>
    <cacheHierarchy uniqueName="[Actuals1_1].[Name]" caption="Name" attribute="1" defaultMemberUniqueName="[Actuals1_1].[Name].[All]" allUniqueName="[Actuals1_1].[Name].[All]" dimensionUniqueName="[Actuals1_1]" displayFolder="" count="0" memberValueDatatype="130" unbalanced="0"/>
    <cacheHierarchy uniqueName="[Actuals1_1].[Type]" caption="Type" attribute="1" defaultMemberUniqueName="[Actuals1_1].[Type].[All]" allUniqueName="[Actuals1_1].[Type].[All]" dimensionUniqueName="[Actuals1_1]" displayFolder="" count="0" memberValueDatatype="130" unbalanced="0"/>
    <cacheHierarchy uniqueName="[Actuals1_1].[Type1]" caption="Type1" attribute="1" defaultMemberUniqueName="[Actuals1_1].[Type1].[All]" allUniqueName="[Actuals1_1].[Type1].[All]" dimensionUniqueName="[Actuals1_1]" displayFolder="" count="0" memberValueDatatype="130" unbalanced="0"/>
    <cacheHierarchy uniqueName="[Actuals1_1].[Period]" caption="Period" attribute="1" time="1" defaultMemberUniqueName="[Actuals1_1].[Period].[All]" allUniqueName="[Actuals1_1].[Period].[All]" dimensionUniqueName="[Actuals1_1]" displayFolder="" count="0" memberValueDatatype="7" unbalanced="0"/>
    <cacheHierarchy uniqueName="[Actuals1_1].[Value]" caption="Value" attribute="1" defaultMemberUniqueName="[Actuals1_1].[Value].[All]" allUniqueName="[Actuals1_1].[Value].[All]" dimensionUniqueName="[Actuals1_1]" displayFolder="" count="0" memberValueDatatype="5" unbalanced="0"/>
    <cacheHierarchy uniqueName="[Actuals1_1].[Key]" caption="Key" attribute="1" defaultMemberUniqueName="[Actuals1_1].[Key].[All]" allUniqueName="[Actuals1_1].[Key].[All]" dimensionUniqueName="[Actuals1_1]" displayFolder="" count="0" memberValueDatatype="130" unbalanced="0"/>
    <cacheHierarchy uniqueName="[Actuals1_1].[Period (rok)]" caption="Period (rok)" attribute="1" defaultMemberUniqueName="[Actuals1_1].[Period (rok)].[All]" allUniqueName="[Actuals1_1].[Period (rok)].[All]" dimensionUniqueName="[Actuals1_1]" displayFolder="" count="0" memberValueDatatype="130" unbalanced="0"/>
    <cacheHierarchy uniqueName="[Actuals1_1].[Period (kwartał)]" caption="Period (kwartał)" attribute="1" defaultMemberUniqueName="[Actuals1_1].[Period (kwartał)].[All]" allUniqueName="[Actuals1_1].[Period (kwartał)].[All]" dimensionUniqueName="[Actuals1_1]" displayFolder="" count="0" memberValueDatatype="130" unbalanced="0"/>
    <cacheHierarchy uniqueName="[Actuals1_1].[Period (miesiąc)]" caption="Period (miesiąc)" attribute="1" defaultMemberUniqueName="[Actuals1_1].[Period (miesiąc)].[All]" allUniqueName="[Actuals1_1].[Period (miesiąc)].[All]" dimensionUniqueName="[Actuals1_1]" displayFolder="" count="0" memberValueDatatype="130" unbalanced="0"/>
    <cacheHierarchy uniqueName="[Budget2_1].[Type]" caption="Type" attribute="1" defaultMemberUniqueName="[Budget2_1].[Type].[All]" allUniqueName="[Budget2_1].[Type].[All]" dimensionUniqueName="[Budget2_1]" displayFolder="" count="0" memberValueDatatype="130" unbalanced="0"/>
    <cacheHierarchy uniqueName="[Budget2_1].[Type1]" caption="Type1" attribute="1" defaultMemberUniqueName="[Budget2_1].[Type1].[All]" allUniqueName="[Budget2_1].[Type1].[All]" dimensionUniqueName="[Budget2_1]" displayFolder="" count="0" memberValueDatatype="130" unbalanced="0"/>
    <cacheHierarchy uniqueName="[Budget2_1].[Name]" caption="Name" attribute="1" defaultMemberUniqueName="[Budget2_1].[Name].[All]" allUniqueName="[Budget2_1].[Name].[All]" dimensionUniqueName="[Budget2_1]" displayFolder="" count="0" memberValueDatatype="130" unbalanced="0"/>
    <cacheHierarchy uniqueName="[Budget2_1].[Period]" caption="Period" attribute="1" time="1" defaultMemberUniqueName="[Budget2_1].[Period].[All]" allUniqueName="[Budget2_1].[Period].[All]" dimensionUniqueName="[Budget2_1]" displayFolder="" count="0" memberValueDatatype="7" unbalanced="0"/>
    <cacheHierarchy uniqueName="[Budget2_1].[Value]" caption="Value" attribute="1" defaultMemberUniqueName="[Budget2_1].[Value].[All]" allUniqueName="[Budget2_1].[Value].[All]" dimensionUniqueName="[Budget2_1]" displayFolder="" count="0" memberValueDatatype="5" unbalanced="0"/>
    <cacheHierarchy uniqueName="[Budget2_1].[Key]" caption="Key" attribute="1" defaultMemberUniqueName="[Budget2_1].[Key].[All]" allUniqueName="[Budget2_1].[Key].[All]" dimensionUniqueName="[Budget2_1]" displayFolder="" count="0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Year]" caption="Year" attribute="1" time="1" defaultMemberUniqueName="[Date].[Year].[All]" allUniqueName="[Date].[Year].[All]" dimensionUniqueName="[Date]" displayFolder="" count="2" memberValueDatatype="20" unbalanced="0">
      <fieldsUsage count="2">
        <fieldUsage x="-1"/>
        <fieldUsage x="19"/>
      </fieldsUsage>
    </cacheHierarchy>
    <cacheHierarchy uniqueName="[Date].[Month Number]" caption="Month Number" attribute="1" time="1" defaultMemberUniqueName="[Date].[Month Number].[All]" allUniqueName="[Date].[Month Number].[All]" dimensionUniqueName="[Date]" displayFolder="" count="0" memberValueDatatype="20" unbalanced="0"/>
    <cacheHierarchy uniqueName="[Date].[Hierarchia1]" caption="Hierarchia1" time="1" defaultMemberUniqueName="[Date].[Hierarchia1].[All]" allUniqueName="[Date].[Hierarchia1].[All]" dimensionUniqueName="[Date]" displayFolder="" count="4" unbalanced="0">
      <fieldsUsage count="4">
        <fieldUsage x="-1"/>
        <fieldUsage x="0"/>
        <fieldUsage x="1"/>
        <fieldUsage x="2"/>
      </fieldsUsage>
    </cacheHierarchy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ate].[Year-Month]" caption="Year-Month" attribute="1" time="1" defaultMemberUniqueName="[Date].[Year-Month].[All]" allUniqueName="[Date].[Year-Month].[All]" dimensionUniqueName="[Date]" displayFolder="" count="0" memberValueDatatype="130" unbalanced="0"/>
    <cacheHierarchy uniqueName="[Date].[Quarter]" caption="Quarter" attribute="1" time="1" defaultMemberUniqueName="[Date].[Quarter].[All]" allUniqueName="[Date].[Quarter].[All]" dimensionUniqueName="[Date]" displayFolder="" count="2" memberValueDatatype="130" unbalanced="0">
      <fieldsUsage count="2">
        <fieldUsage x="-1"/>
        <fieldUsage x="20"/>
      </fieldsUsage>
    </cacheHierarchy>
    <cacheHierarchy uniqueName="[Date].[Day]" caption="Day" attribute="1" time="1" defaultMemberUniqueName="[Date].[Day].[All]" allUniqueName="[Date].[Day].[All]" dimensionUniqueName="[Date]" displayFolder="" count="0" memberValueDatatype="20" unbalanced="0"/>
    <cacheHierarchy uniqueName="[Date].[Month short]" caption="Month short" attribute="1" time="1" defaultMemberUniqueName="[Date].[Month short].[All]" allUniqueName="[Date].[Month short].[All]" dimensionUniqueName="[Date]" displayFolder="" count="2" memberValueDatatype="130" unbalanced="0">
      <fieldsUsage count="2">
        <fieldUsage x="-1"/>
        <fieldUsage x="21"/>
      </fieldsUsage>
    </cacheHierarchy>
    <cacheHierarchy uniqueName="[Date].[EndOfMonthDate]" caption="EndOfMonthDate" attribute="1" time="1" defaultMemberUniqueName="[Date].[EndOfMonthDate].[All]" allUniqueName="[Date].[EndOfMonthDate].[All]" dimensionUniqueName="[Date]" displayFolder="" count="0" memberValueDatatype="7" unbalanced="0"/>
    <cacheHierarchy uniqueName="[P_L].[Account]" caption="Account" attribute="1" defaultMemberUniqueName="[P_L].[Account].[All]" allUniqueName="[P_L].[Account].[All]" dimensionUniqueName="[P_L]" displayFolder="" count="0" memberValueDatatype="5" unbalanced="0"/>
    <cacheHierarchy uniqueName="[P_L].[Type]" caption="Type" attribute="1" defaultMemberUniqueName="[P_L].[Type].[All]" allUniqueName="[P_L].[Type].[All]" dimensionUniqueName="[P_L]" displayFolder="" count="0" memberValueDatatype="130" unbalanced="0"/>
    <cacheHierarchy uniqueName="[P_L].[Type1]" caption="Type1" attribute="1" defaultMemberUniqueName="[P_L].[Type1].[All]" allUniqueName="[P_L].[Type1].[All]" dimensionUniqueName="[P_L]" displayFolder="" count="0" memberValueDatatype="130" unbalanced="0"/>
    <cacheHierarchy uniqueName="[P_L].[Name]" caption="Name" attribute="1" defaultMemberUniqueName="[P_L].[Name].[All]" allUniqueName="[P_L].[Name].[All]" dimensionUniqueName="[P_L]" displayFolder="" count="0" memberValueDatatype="130" unbalanced="0"/>
    <cacheHierarchy uniqueName="[P_L].[Key]" caption="Key" attribute="1" defaultMemberUniqueName="[P_L].[Key].[All]" allUniqueName="[P_L].[Key].[All]" dimensionUniqueName="[P_L]" displayFolder="" count="0" memberValueDatatype="130" unbalanced="0"/>
    <cacheHierarchy uniqueName="[Actuals1_1].[Period (indeks miesiąca)]" caption="Period (indeks miesiąca)" attribute="1" defaultMemberUniqueName="[Actuals1_1].[Period (indeks miesiąca)].[All]" allUniqueName="[Actuals1_1].[Period (indeks miesiąca)].[All]" dimensionUniqueName="[Actuals1_1]" displayFolder="" count="0" memberValueDatatype="20" unbalanced="0" hidden="1"/>
    <cacheHierarchy uniqueName="[Measures].[Suma Value]" caption="Suma Value" measure="1" displayFolder="" measureGroup="Actuals1_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Value 2]" caption="Suma Value 2" measure="1" displayFolder="" measureGroup="Budget2_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M %]" caption="MoM %" measure="1" displayFolder="" measureGroup="Actuals1_1" count="0"/>
    <cacheHierarchy uniqueName="[Measures].[Actuals]" caption="Actuals" measure="1" displayFolder="" measureGroup="Actuals1_1" count="0"/>
    <cacheHierarchy uniqueName="[Measures].[YoY %]" caption="YoY %" measure="1" displayFolder="" measureGroup="Actuals1_1" count="0"/>
    <cacheHierarchy uniqueName="[Measures].[Actuals MTD]" caption="Actuals MTD" measure="1" displayFolder="" measureGroup="Actuals1_1" count="0"/>
    <cacheHierarchy uniqueName="[Measures].[Actuals PY]" caption="Actuals PY" measure="1" displayFolder="" measureGroup="Actuals1_1" count="0"/>
    <cacheHierarchy uniqueName="[Measures].[Budget]" caption="Budget" measure="1" displayFolder="" measureGroup="Budget2_1" count="0"/>
    <cacheHierarchy uniqueName="[Measures].[Variance to Budget %]" caption="Variance to Budget %" measure="1" displayFolder="" measureGroup="Actuals1_1" count="0"/>
    <cacheHierarchy uniqueName="[Measures].[COGS PY]" caption="COGS PY" measure="1" displayFolder="" measureGroup="Actuals1_1" count="0"/>
    <cacheHierarchy uniqueName="[Measures].[COGS/COGS PY %]" caption="COGS/COGS PY %" measure="1" displayFolder="" measureGroup="Actuals1_1" count="0" oneField="1">
      <fieldsUsage count="1">
        <fieldUsage x="4"/>
      </fieldsUsage>
    </cacheHierarchy>
    <cacheHierarchy uniqueName="[Measures].[COGS Budget]" caption="COGS Budget" measure="1" displayFolder="" measureGroup="Budget2_1" count="0"/>
    <cacheHierarchy uniqueName="[Measures].[COGS/Budget %]" caption="COGS/Budget %" measure="1" displayFolder="" measureGroup="Actuals1_1" count="0" oneField="1">
      <fieldsUsage count="1">
        <fieldUsage x="6"/>
      </fieldsUsage>
    </cacheHierarchy>
    <cacheHierarchy uniqueName="[Measures].[Gross Profit Margin PY]" caption="Gross Profit Margin PY" measure="1" displayFolder="" measureGroup="Actuals1_1" count="0"/>
    <cacheHierarchy uniqueName="[Measures].[Gross Profit Margin Budget]" caption="Gross Profit Margin Budget" measure="1" displayFolder="" measureGroup="Actuals1_1" count="0"/>
    <cacheHierarchy uniqueName="[Measures].[Gross Profit Margin/Gross Profit Margin PY %]" caption="Gross Profit Margin/Gross Profit Margin PY %" measure="1" displayFolder="" measureGroup="Actuals1_1" count="0" oneField="1">
      <fieldsUsage count="1">
        <fieldUsage x="8"/>
      </fieldsUsage>
    </cacheHierarchy>
    <cacheHierarchy uniqueName="[Measures].[Gross Profit Margin/Gross Profit Margin Budget %]" caption="Gross Profit Margin/Gross Profit Margin Budget %" measure="1" displayFolder="" measureGroup="Actuals1_1" count="0" oneField="1">
      <fieldsUsage count="1">
        <fieldUsage x="10"/>
      </fieldsUsage>
    </cacheHierarchy>
    <cacheHierarchy uniqueName="[Measures].[EBITDA Margin PY]" caption="EBITDA Margin PY" measure="1" displayFolder="" measureGroup="Actuals1_1" count="0"/>
    <cacheHierarchy uniqueName="[Measures].[EBITDA Margin Budget]" caption="EBITDA Margin Budget" measure="1" displayFolder="" measureGroup="Actuals1_1" count="0"/>
    <cacheHierarchy uniqueName="[Measures].[EBITDA Margin / EBITDA Margin PY]" caption="EBITDA Margin / EBITDA Margin PY" measure="1" displayFolder="" measureGroup="Actuals1_1" count="0" oneField="1">
      <fieldsUsage count="1">
        <fieldUsage x="12"/>
      </fieldsUsage>
    </cacheHierarchy>
    <cacheHierarchy uniqueName="[Measures].[EBITDA Margin/EBITDA Margin Budget]" caption="EBITDA Margin/EBITDA Margin Budget" measure="1" displayFolder="" measureGroup="Actuals1_1" count="0" oneField="1">
      <fieldsUsage count="1">
        <fieldUsage x="14"/>
      </fieldsUsage>
    </cacheHierarchy>
    <cacheHierarchy uniqueName="[Measures].[COGS to Revenue PY]" caption="COGS to Revenue PY" measure="1" displayFolder="" measureGroup="Actuals1_1" count="0"/>
    <cacheHierarchy uniqueName="[Measures].[COGS to Revenue Budget]" caption="COGS to Revenue Budget" measure="1" displayFolder="" measureGroup="Actuals1_1" count="0"/>
    <cacheHierarchy uniqueName="[Measures].[COGS to Revenue / COGS to Revenue PY]" caption="COGS to Revenue / COGS to Revenue PY" measure="1" displayFolder="" measureGroup="Actuals1_1" count="0" oneField="1">
      <fieldsUsage count="1">
        <fieldUsage x="16"/>
      </fieldsUsage>
    </cacheHierarchy>
    <cacheHierarchy uniqueName="[Measures].[COGS to Revenue / COGS to Revenue Budget]" caption="COGS to Revenue / COGS to Revenue Budget" measure="1" displayFolder="" measureGroup="Actuals1_1" count="0" oneField="1">
      <fieldsUsage count="1">
        <fieldUsage x="18"/>
      </fieldsUsage>
    </cacheHierarchy>
    <cacheHierarchy uniqueName="[Measures].[COGS]" caption="COGS" measure="1" displayFolder="" measureGroup="Actuals1_1" count="0"/>
    <cacheHierarchy uniqueName="[Measures].[COGS1]" caption="COGS1" measure="1" displayFolder="" measureGroup="Actuals1_1" count="0"/>
    <cacheHierarchy uniqueName="[Measures].[Gross Profit Margin]" caption="Gross Profit Margin" measure="1" displayFolder="" measureGroup="Actuals1_1" count="0"/>
    <cacheHierarchy uniqueName="[Measures].[Gross Profit Margin 1]" caption="Gross Profit Margin 1" measure="1" displayFolder="" measureGroup="Actuals1_1" count="0"/>
    <cacheHierarchy uniqueName="[Measures].[EBITDA Margin]" caption="EBITDA Margin" measure="1" displayFolder="" measureGroup="Actuals1_1" count="0"/>
    <cacheHierarchy uniqueName="[Measures].[EBITDA Margin 1]" caption="EBITDA Margin 1" measure="1" displayFolder="" measureGroup="Actuals1_1" count="0"/>
    <cacheHierarchy uniqueName="[Measures].[COGS to Revenue]" caption="COGS to Revenue" measure="1" displayFolder="" measureGroup="Actuals1_1" count="0"/>
    <cacheHierarchy uniqueName="[Measures].[COGS to Revenue 1]" caption="COGS to Revenue 1" measure="1" displayFolder="" measureGroup="Actuals1_1" count="0"/>
    <cacheHierarchy uniqueName="[Measures].[__XL_Count Actuals1_1]" caption="__XL_Count Actuals1_1" measure="1" displayFolder="" measureGroup="Actuals1_1" count="0" hidden="1"/>
    <cacheHierarchy uniqueName="[Measures].[__XL_Count P_L]" caption="__XL_Count P_L" measure="1" displayFolder="" measureGroup="P_L" count="0" hidden="1"/>
    <cacheHierarchy uniqueName="[Measures].[__XL_Count Date]" caption="__XL_Count Date" measure="1" displayFolder="" measureGroup="Date" count="0" hidden="1"/>
    <cacheHierarchy uniqueName="[Measures].[__XL_Count Budget2_1]" caption="__XL_Count Budget2_1" measure="1" displayFolder="" measureGroup="Budget2_1" count="0" hidden="1"/>
    <cacheHierarchy uniqueName="[Measures].[__Nie zdefiniowano żadnych miar]" caption="__Nie zdefiniowano żadnych miar" measure="1" displayFolder="" count="0" hidden="1"/>
    <cacheHierarchy uniqueName="[Measures].[_COGS Goal]" caption="_COGS Goal" measure="1" displayFolder="" measureGroup="Actuals1_1" count="0" hidden="1"/>
    <cacheHierarchy uniqueName="[Measures].[_COGS Status]" caption="_COGS Status" measure="1" iconSet="11" displayFolder="" measureGroup="Actuals1_1" count="0" oneField="1" hidden="1">
      <fieldsUsage count="1">
        <fieldUsage x="3"/>
      </fieldsUsage>
    </cacheHierarchy>
    <cacheHierarchy uniqueName="[Measures].[_COGS1 Goal]" caption="_COGS1 Goal" measure="1" displayFolder="" measureGroup="Actuals1_1" count="0" hidden="1"/>
    <cacheHierarchy uniqueName="[Measures].[_COGS1 Status]" caption="_COGS1 Status" measure="1" iconSet="11" displayFolder="" measureGroup="Actuals1_1" count="0" oneField="1" hidden="1">
      <fieldsUsage count="1">
        <fieldUsage x="5"/>
      </fieldsUsage>
    </cacheHierarchy>
    <cacheHierarchy uniqueName="[Measures].[_Gross Profit Margin Goal]" caption="_Gross Profit Margin Goal" measure="1" displayFolder="" measureGroup="Actuals1_1" count="0" hidden="1"/>
    <cacheHierarchy uniqueName="[Measures].[_Gross Profit Margin Status]" caption="_Gross Profit Margin Status" measure="1" iconSet="11" displayFolder="" measureGroup="Actuals1_1" count="0" oneField="1" hidden="1">
      <fieldsUsage count="1">
        <fieldUsage x="7"/>
      </fieldsUsage>
    </cacheHierarchy>
    <cacheHierarchy uniqueName="[Measures].[_Gross Profit Margin 1 Goal]" caption="_Gross Profit Margin 1 Goal" measure="1" displayFolder="" measureGroup="Actuals1_1" count="0" hidden="1"/>
    <cacheHierarchy uniqueName="[Measures].[_Gross Profit Margin 1 Status]" caption="_Gross Profit Margin 1 Status" measure="1" iconSet="11" displayFolder="" measureGroup="Actuals1_1" count="0" oneField="1" hidden="1">
      <fieldsUsage count="1">
        <fieldUsage x="9"/>
      </fieldsUsage>
    </cacheHierarchy>
    <cacheHierarchy uniqueName="[Measures].[_EBITDA Margin Goal]" caption="_EBITDA Margin Goal" measure="1" displayFolder="" measureGroup="Actuals1_1" count="0" hidden="1"/>
    <cacheHierarchy uniqueName="[Measures].[_EBITDA Margin Status]" caption="_EBITDA Margin Status" measure="1" iconSet="11" displayFolder="" measureGroup="Actuals1_1" count="0" oneField="1" hidden="1">
      <fieldsUsage count="1">
        <fieldUsage x="11"/>
      </fieldsUsage>
    </cacheHierarchy>
    <cacheHierarchy uniqueName="[Measures].[_EBITDA Margin 1 Goal]" caption="_EBITDA Margin 1 Goal" measure="1" displayFolder="" measureGroup="Actuals1_1" count="0" hidden="1"/>
    <cacheHierarchy uniqueName="[Measures].[_EBITDA Margin 1 Status]" caption="_EBITDA Margin 1 Status" measure="1" iconSet="11" displayFolder="" measureGroup="Actuals1_1" count="0" oneField="1" hidden="1">
      <fieldsUsage count="1">
        <fieldUsage x="13"/>
      </fieldsUsage>
    </cacheHierarchy>
    <cacheHierarchy uniqueName="[Measures].[_COGS to Revenue Goal]" caption="_COGS to Revenue Goal" measure="1" displayFolder="" measureGroup="Actuals1_1" count="0" hidden="1"/>
    <cacheHierarchy uniqueName="[Measures].[_COGS to Revenue Status]" caption="_COGS to Revenue Status" measure="1" iconSet="11" displayFolder="" measureGroup="Actuals1_1" count="0" oneField="1" hidden="1">
      <fieldsUsage count="1">
        <fieldUsage x="15"/>
      </fieldsUsage>
    </cacheHierarchy>
    <cacheHierarchy uniqueName="[Measures].[_COGS to Revenue 1 Goal]" caption="_COGS to Revenue 1 Goal" measure="1" displayFolder="" measureGroup="Actuals1_1" count="0" hidden="1"/>
    <cacheHierarchy uniqueName="[Measures].[_COGS to Revenue 1 Status]" caption="_COGS to Revenue 1 Status" measure="1" iconSet="11" displayFolder="" measureGroup="Actuals1_1" count="0" oneField="1" hidden="1">
      <fieldsUsage count="1">
        <fieldUsage x="17"/>
      </fieldsUsage>
    </cacheHierarchy>
  </cacheHierarchies>
  <kpis count="8">
    <kpi uniqueName="COGS" caption="COGS" displayFolder="" measureGroup="Actuals1_1" parent="" value="[Measures].[COGS]" goal="[Measures].[_COGS Goal]" status="[Measures].[_COGS Status]" trend="" weight=""/>
    <kpi uniqueName="COGS1" caption="COGS1" displayFolder="" measureGroup="Actuals1_1" parent="" value="[Measures].[COGS1]" goal="[Measures].[_COGS1 Goal]" status="[Measures].[_COGS1 Status]" trend="" weight=""/>
    <kpi uniqueName="Gross Profit Margin" caption="Gross Profit Margin" displayFolder="" measureGroup="Actuals1_1" parent="" value="[Measures].[Gross Profit Margin]" goal="[Measures].[_Gross Profit Margin Goal]" status="[Measures].[_Gross Profit Margin Status]" trend="" weight=""/>
    <kpi uniqueName="Gross Profit Margin 1" caption="Gross Profit Margin 1" displayFolder="" measureGroup="Actuals1_1" parent="" value="[Measures].[Gross Profit Margin 1]" goal="[Measures].[_Gross Profit Margin 1 Goal]" status="[Measures].[_Gross Profit Margin 1 Status]" trend="" weight=""/>
    <kpi uniqueName="EBITDA Margin" caption="EBITDA Margin" displayFolder="" measureGroup="Actuals1_1" parent="" value="[Measures].[EBITDA Margin]" goal="[Measures].[_EBITDA Margin Goal]" status="[Measures].[_EBITDA Margin Status]" trend="" weight=""/>
    <kpi uniqueName="EBITDA Margin 1" caption="EBITDA Margin 1" displayFolder="" measureGroup="Actuals1_1" parent="" value="[Measures].[EBITDA Margin 1]" goal="[Measures].[_EBITDA Margin 1 Goal]" status="[Measures].[_EBITDA Margin 1 Status]" trend="" weight=""/>
    <kpi uniqueName="COGS to Revenue" caption="COGS to Revenue" displayFolder="" measureGroup="Actuals1_1" parent="" value="[Measures].[COGS to Revenue]" goal="[Measures].[_COGS to Revenue Goal]" status="[Measures].[_COGS to Revenue Status]" trend="" weight=""/>
    <kpi uniqueName="COGS to Revenue 1" caption="COGS to Revenue 1" displayFolder="" measureGroup="Actuals1_1" parent="" value="[Measures].[COGS to Revenue 1]" goal="[Measures].[_COGS to Revenue 1 Goal]" status="[Measures].[_COGS to Revenue 1 Status]" trend="" weight=""/>
  </kpis>
  <dimensions count="5">
    <dimension name="Actuals1_1" uniqueName="[Actuals1_1]" caption="Actuals1_1"/>
    <dimension name="Budget2_1" uniqueName="[Budget2_1]" caption="Budget2_1"/>
    <dimension name="Date" uniqueName="[Date]" caption="Date"/>
    <dimension measure="1" name="Measures" uniqueName="[Measures]" caption="Measures"/>
    <dimension name="P_L" uniqueName="[P_L]" caption="P_L"/>
  </dimensions>
  <measureGroups count="4">
    <measureGroup name="Actuals1_1" caption="Actuals1_1"/>
    <measureGroup name="Budget2_1" caption="Budget2_1"/>
    <measureGroup name="Date" caption="Date"/>
    <measureGroup name="P_L" caption="P_L"/>
  </measureGroups>
  <maps count="8">
    <map measureGroup="0" dimension="0"/>
    <map measureGroup="0" dimension="2"/>
    <map measureGroup="0" dimension="4"/>
    <map measureGroup="1" dimension="1"/>
    <map measureGroup="1" dimension="2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 Kowalczyk" refreshedDate="46108.761157175926" backgroundQuery="1" createdVersion="8" refreshedVersion="8" minRefreshableVersion="3" recordCount="0" supportSubquery="1" supportAdvancedDrill="1" xr:uid="{53C7819A-8359-43E7-BB75-E3C7B0BEA374}">
  <cacheSource type="external" connectionId="1"/>
  <cacheFields count="13">
    <cacheField name="[Measures].[COGS/COGS PY %]" caption="COGS/COGS PY %" numFmtId="0" hierarchy="42" level="32767"/>
    <cacheField name="[Measures].[COGS/Budget %]" caption="COGS/Budget %" numFmtId="0" hierarchy="44" level="32767"/>
    <cacheField name="[Measures].[Gross Profit Margin/Gross Profit Margin PY %]" caption="Gross Profit Margin/Gross Profit Margin PY %" numFmtId="0" hierarchy="47" level="32767"/>
    <cacheField name="[Measures].[Gross Profit Margin/Gross Profit Margin Budget %]" caption="Gross Profit Margin/Gross Profit Margin Budget %" numFmtId="0" hierarchy="48" level="32767"/>
    <cacheField name="[Measures].[EBITDA Margin / EBITDA Margin PY]" caption="EBITDA Margin / EBITDA Margin PY" numFmtId="0" hierarchy="51" level="32767"/>
    <cacheField name="[Measures].[EBITDA Margin/EBITDA Margin Budget]" caption="EBITDA Margin/EBITDA Margin Budget" numFmtId="0" hierarchy="52" level="32767"/>
    <cacheField name="[Measures].[COGS to Revenue / COGS to Revenue PY]" caption="COGS to Revenue / COGS to Revenue PY" numFmtId="0" hierarchy="55" level="32767"/>
    <cacheField name="[Measures].[COGS to Revenue / COGS to Revenue Budget]" caption="COGS to Revenue / COGS to Revenue Budget" numFmtId="0" hierarchy="56" level="32767"/>
    <cacheField name="[Date].[Year].[Year]" caption="Year" numFmtId="0" hierarchy="17" level="1">
      <sharedItems containsSemiMixedTypes="0" containsString="0" containsNumber="1" containsInteger="1" minValue="2025" maxValue="2025" count="1">
        <n v="2025"/>
      </sharedItems>
      <extLst>
        <ext xmlns:x15="http://schemas.microsoft.com/office/spreadsheetml/2010/11/main" uri="{4F2E5C28-24EA-4eb8-9CBF-B6C8F9C3D259}">
          <x15:cachedUniqueNames>
            <x15:cachedUniqueName index="0" name="[Date].[Year].&amp;[2025]"/>
          </x15:cachedUniqueNames>
        </ext>
      </extLst>
    </cacheField>
    <cacheField name="[Date].[Quarter].[Quarter]" caption="Quarter" numFmtId="0" hierarchy="22" level="1">
      <sharedItems count="2">
        <s v="Q1"/>
        <s v="Q2"/>
      </sharedItems>
    </cacheField>
    <cacheField name="[Date].[Month short].[Month short]" caption="Month short" numFmtId="0" hierarchy="24" level="1">
      <sharedItems count="6">
        <s v="Jan"/>
        <s v="Feb"/>
        <s v="Mar"/>
        <s v="Apr"/>
        <s v="May"/>
        <s v="Jun"/>
      </sharedItems>
    </cacheField>
    <cacheField name="[Date].[Year-Month].[Year-Month]" caption="Year-Month" numFmtId="0" hierarchy="21" level="1">
      <sharedItems containsSemiMixedTypes="0" containsNonDate="0" containsString="0"/>
    </cacheField>
    <cacheField name="[Date].[Date].[Date]" caption="Date" numFmtId="0" hierarchy="16" level="1">
      <sharedItems containsSemiMixedTypes="0" containsNonDate="0" containsString="0"/>
    </cacheField>
  </cacheFields>
  <cacheHierarchies count="86">
    <cacheHierarchy uniqueName="[Actuals1_1].[Account]" caption="Account" attribute="1" defaultMemberUniqueName="[Actuals1_1].[Account].[All]" allUniqueName="[Actuals1_1].[Account].[All]" dimensionUniqueName="[Actuals1_1]" displayFolder="" count="2" memberValueDatatype="5" unbalanced="0"/>
    <cacheHierarchy uniqueName="[Actuals1_1].[Name]" caption="Name" attribute="1" defaultMemberUniqueName="[Actuals1_1].[Name].[All]" allUniqueName="[Actuals1_1].[Name].[All]" dimensionUniqueName="[Actuals1_1]" displayFolder="" count="2" memberValueDatatype="130" unbalanced="0"/>
    <cacheHierarchy uniqueName="[Actuals1_1].[Type]" caption="Type" attribute="1" defaultMemberUniqueName="[Actuals1_1].[Type].[All]" allUniqueName="[Actuals1_1].[Type].[All]" dimensionUniqueName="[Actuals1_1]" displayFolder="" count="2" memberValueDatatype="130" unbalanced="0"/>
    <cacheHierarchy uniqueName="[Actuals1_1].[Type1]" caption="Type1" attribute="1" defaultMemberUniqueName="[Actuals1_1].[Type1].[All]" allUniqueName="[Actuals1_1].[Type1].[All]" dimensionUniqueName="[Actuals1_1]" displayFolder="" count="2" memberValueDatatype="130" unbalanced="0"/>
    <cacheHierarchy uniqueName="[Actuals1_1].[Period]" caption="Period" attribute="1" time="1" defaultMemberUniqueName="[Actuals1_1].[Period].[All]" allUniqueName="[Actuals1_1].[Period].[All]" dimensionUniqueName="[Actuals1_1]" displayFolder="" count="2" memberValueDatatype="7" unbalanced="0"/>
    <cacheHierarchy uniqueName="[Actuals1_1].[Value]" caption="Value" attribute="1" defaultMemberUniqueName="[Actuals1_1].[Value].[All]" allUniqueName="[Actuals1_1].[Value].[All]" dimensionUniqueName="[Actuals1_1]" displayFolder="" count="2" memberValueDatatype="5" unbalanced="0"/>
    <cacheHierarchy uniqueName="[Actuals1_1].[Key]" caption="Key" attribute="1" defaultMemberUniqueName="[Actuals1_1].[Key].[All]" allUniqueName="[Actuals1_1].[Key].[All]" dimensionUniqueName="[Actuals1_1]" displayFolder="" count="2" memberValueDatatype="130" unbalanced="0"/>
    <cacheHierarchy uniqueName="[Actuals1_1].[Period (rok)]" caption="Period (rok)" attribute="1" defaultMemberUniqueName="[Actuals1_1].[Period (rok)].[All]" allUniqueName="[Actuals1_1].[Period (rok)].[All]" dimensionUniqueName="[Actuals1_1]" displayFolder="" count="2" memberValueDatatype="130" unbalanced="0"/>
    <cacheHierarchy uniqueName="[Actuals1_1].[Period (kwartał)]" caption="Period (kwartał)" attribute="1" defaultMemberUniqueName="[Actuals1_1].[Period (kwartał)].[All]" allUniqueName="[Actuals1_1].[Period (kwartał)].[All]" dimensionUniqueName="[Actuals1_1]" displayFolder="" count="2" memberValueDatatype="130" unbalanced="0"/>
    <cacheHierarchy uniqueName="[Actuals1_1].[Period (miesiąc)]" caption="Period (miesiąc)" attribute="1" defaultMemberUniqueName="[Actuals1_1].[Period (miesiąc)].[All]" allUniqueName="[Actuals1_1].[Period (miesiąc)].[All]" dimensionUniqueName="[Actuals1_1]" displayFolder="" count="2" memberValueDatatype="130" unbalanced="0"/>
    <cacheHierarchy uniqueName="[Budget2_1].[Type]" caption="Type" attribute="1" defaultMemberUniqueName="[Budget2_1].[Type].[All]" allUniqueName="[Budget2_1].[Type].[All]" dimensionUniqueName="[Budget2_1]" displayFolder="" count="2" memberValueDatatype="130" unbalanced="0"/>
    <cacheHierarchy uniqueName="[Budget2_1].[Type1]" caption="Type1" attribute="1" defaultMemberUniqueName="[Budget2_1].[Type1].[All]" allUniqueName="[Budget2_1].[Type1].[All]" dimensionUniqueName="[Budget2_1]" displayFolder="" count="2" memberValueDatatype="130" unbalanced="0"/>
    <cacheHierarchy uniqueName="[Budget2_1].[Name]" caption="Name" attribute="1" defaultMemberUniqueName="[Budget2_1].[Name].[All]" allUniqueName="[Budget2_1].[Name].[All]" dimensionUniqueName="[Budget2_1]" displayFolder="" count="2" memberValueDatatype="130" unbalanced="0"/>
    <cacheHierarchy uniqueName="[Budget2_1].[Period]" caption="Period" attribute="1" time="1" defaultMemberUniqueName="[Budget2_1].[Period].[All]" allUniqueName="[Budget2_1].[Period].[All]" dimensionUniqueName="[Budget2_1]" displayFolder="" count="2" memberValueDatatype="7" unbalanced="0"/>
    <cacheHierarchy uniqueName="[Budget2_1].[Value]" caption="Value" attribute="1" defaultMemberUniqueName="[Budget2_1].[Value].[All]" allUniqueName="[Budget2_1].[Value].[All]" dimensionUniqueName="[Budget2_1]" displayFolder="" count="2" memberValueDatatype="5" unbalanced="0"/>
    <cacheHierarchy uniqueName="[Budget2_1].[Key]" caption="Key" attribute="1" defaultMemberUniqueName="[Budget2_1].[Key].[All]" allUniqueName="[Budget2_1].[Key].[All]" dimensionUniqueName="[Budget2_1]" displayFolder="" count="2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2" memberValueDatatype="7" unbalanced="0">
      <fieldsUsage count="2">
        <fieldUsage x="-1"/>
        <fieldUsage x="12"/>
      </fieldsUsage>
    </cacheHierarchy>
    <cacheHierarchy uniqueName="[Date].[Year]" caption="Year" attribute="1" time="1" defaultMemberUniqueName="[Date].[Year].[All]" allUniqueName="[Date].[Year].[All]" dimensionUniqueName="[Date]" displayFolder="" count="2" memberValueDatatype="20" unbalanced="0">
      <fieldsUsage count="2">
        <fieldUsage x="-1"/>
        <fieldUsage x="8"/>
      </fieldsUsage>
    </cacheHierarchy>
    <cacheHierarchy uniqueName="[Date].[Month Number]" caption="Month Number" attribute="1" time="1" defaultMemberUniqueName="[Date].[Month Number].[All]" allUniqueName="[Date].[Month Number].[All]" dimensionUniqueName="[Date]" displayFolder="" count="2" memberValueDatatype="20" unbalanced="0"/>
    <cacheHierarchy uniqueName="[Date].[Hierarchia1]" caption="Hierarchia1" time="1" defaultMemberUniqueName="[Date].[Hierarchia1].[All]" allUniqueName="[Date].[Hierarchia1].[All]" dimensionUniqueName="[Date]" displayFolder="" count="4" unbalanced="0"/>
    <cacheHierarchy uniqueName="[Date].[Month]" caption="Month" attribute="1" time="1" defaultMemberUniqueName="[Date].[Month].[All]" allUniqueName="[Date].[Month].[All]" dimensionUniqueName="[Date]" displayFolder="" count="2" memberValueDatatype="130" unbalanced="0"/>
    <cacheHierarchy uniqueName="[Date].[Year-Month]" caption="Year-Month" attribute="1" time="1" defaultMemberUniqueName="[Date].[Year-Month].[All]" allUniqueName="[Date].[Year-Month].[All]" dimensionUniqueName="[Date]" displayFolder="" count="2" memberValueDatatype="130" unbalanced="0">
      <fieldsUsage count="2">
        <fieldUsage x="-1"/>
        <fieldUsage x="11"/>
      </fieldsUsage>
    </cacheHierarchy>
    <cacheHierarchy uniqueName="[Date].[Quarter]" caption="Quarter" attribute="1" time="1" defaultMemberUniqueName="[Date].[Quarter].[All]" allUniqueName="[Date].[Quarter].[All]" dimensionUniqueName="[Date]" displayFolder="" count="2" memberValueDatatype="130" unbalanced="0">
      <fieldsUsage count="2">
        <fieldUsage x="-1"/>
        <fieldUsage x="9"/>
      </fieldsUsage>
    </cacheHierarchy>
    <cacheHierarchy uniqueName="[Date].[Day]" caption="Day" attribute="1" time="1" defaultMemberUniqueName="[Date].[Day].[All]" allUniqueName="[Date].[Day].[All]" dimensionUniqueName="[Date]" displayFolder="" count="2" memberValueDatatype="20" unbalanced="0"/>
    <cacheHierarchy uniqueName="[Date].[Month short]" caption="Month short" attribute="1" time="1" defaultMemberUniqueName="[Date].[Month short].[All]" allUniqueName="[Date].[Month short].[All]" dimensionUniqueName="[Date]" displayFolder="" count="2" memberValueDatatype="130" unbalanced="0">
      <fieldsUsage count="2">
        <fieldUsage x="-1"/>
        <fieldUsage x="10"/>
      </fieldsUsage>
    </cacheHierarchy>
    <cacheHierarchy uniqueName="[Date].[EndOfMonthDate]" caption="EndOfMonthDate" attribute="1" time="1" defaultMemberUniqueName="[Date].[EndOfMonthDate].[All]" allUniqueName="[Date].[EndOfMonthDate].[All]" dimensionUniqueName="[Date]" displayFolder="" count="2" memberValueDatatype="7" unbalanced="0"/>
    <cacheHierarchy uniqueName="[P_L].[Account]" caption="Account" attribute="1" defaultMemberUniqueName="[P_L].[Account].[All]" allUniqueName="[P_L].[Account].[All]" dimensionUniqueName="[P_L]" displayFolder="" count="2" memberValueDatatype="5" unbalanced="0"/>
    <cacheHierarchy uniqueName="[P_L].[Type]" caption="Type" attribute="1" defaultMemberUniqueName="[P_L].[Type].[All]" allUniqueName="[P_L].[Type].[All]" dimensionUniqueName="[P_L]" displayFolder="" count="2" memberValueDatatype="130" unbalanced="0"/>
    <cacheHierarchy uniqueName="[P_L].[Type1]" caption="Type1" attribute="1" defaultMemberUniqueName="[P_L].[Type1].[All]" allUniqueName="[P_L].[Type1].[All]" dimensionUniqueName="[P_L]" displayFolder="" count="2" memberValueDatatype="130" unbalanced="0"/>
    <cacheHierarchy uniqueName="[P_L].[Name]" caption="Name" attribute="1" defaultMemberUniqueName="[P_L].[Name].[All]" allUniqueName="[P_L].[Name].[All]" dimensionUniqueName="[P_L]" displayFolder="" count="2" memberValueDatatype="130" unbalanced="0"/>
    <cacheHierarchy uniqueName="[P_L].[Key]" caption="Key" attribute="1" defaultMemberUniqueName="[P_L].[Key].[All]" allUniqueName="[P_L].[Key].[All]" dimensionUniqueName="[P_L]" displayFolder="" count="2" memberValueDatatype="130" unbalanced="0"/>
    <cacheHierarchy uniqueName="[Actuals1_1].[Period (indeks miesiąca)]" caption="Period (indeks miesiąca)" attribute="1" defaultMemberUniqueName="[Actuals1_1].[Period (indeks miesiąca)].[All]" allUniqueName="[Actuals1_1].[Period (indeks miesiąca)].[All]" dimensionUniqueName="[Actuals1_1]" displayFolder="" count="2" memberValueDatatype="20" unbalanced="0" hidden="1"/>
    <cacheHierarchy uniqueName="[Measures].[Suma Value]" caption="Suma Value" measure="1" displayFolder="" measureGroup="Actuals1_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Value 2]" caption="Suma Value 2" measure="1" displayFolder="" measureGroup="Budget2_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M %]" caption="MoM %" measure="1" displayFolder="" measureGroup="Actuals1_1" count="0"/>
    <cacheHierarchy uniqueName="[Measures].[Actuals]" caption="Actuals" measure="1" displayFolder="" measureGroup="Actuals1_1" count="0"/>
    <cacheHierarchy uniqueName="[Measures].[YoY %]" caption="YoY %" measure="1" displayFolder="" measureGroup="Actuals1_1" count="0"/>
    <cacheHierarchy uniqueName="[Measures].[Actuals MTD]" caption="Actuals MTD" measure="1" displayFolder="" measureGroup="Actuals1_1" count="0"/>
    <cacheHierarchy uniqueName="[Measures].[Actuals PY]" caption="Actuals PY" measure="1" displayFolder="" measureGroup="Actuals1_1" count="0"/>
    <cacheHierarchy uniqueName="[Measures].[Budget]" caption="Budget" measure="1" displayFolder="" measureGroup="Budget2_1" count="0"/>
    <cacheHierarchy uniqueName="[Measures].[Variance to Budget %]" caption="Variance to Budget %" measure="1" displayFolder="" measureGroup="Actuals1_1" count="0"/>
    <cacheHierarchy uniqueName="[Measures].[COGS PY]" caption="COGS PY" measure="1" displayFolder="" measureGroup="Actuals1_1" count="0"/>
    <cacheHierarchy uniqueName="[Measures].[COGS/COGS PY %]" caption="COGS/COGS PY %" measure="1" displayFolder="" measureGroup="Actuals1_1" count="0" oneField="1">
      <fieldsUsage count="1">
        <fieldUsage x="0"/>
      </fieldsUsage>
    </cacheHierarchy>
    <cacheHierarchy uniqueName="[Measures].[COGS Budget]" caption="COGS Budget" measure="1" displayFolder="" measureGroup="Budget2_1" count="0"/>
    <cacheHierarchy uniqueName="[Measures].[COGS/Budget %]" caption="COGS/Budget %" measure="1" displayFolder="" measureGroup="Actuals1_1" count="0" oneField="1">
      <fieldsUsage count="1">
        <fieldUsage x="1"/>
      </fieldsUsage>
    </cacheHierarchy>
    <cacheHierarchy uniqueName="[Measures].[Gross Profit Margin PY]" caption="Gross Profit Margin PY" measure="1" displayFolder="" measureGroup="Actuals1_1" count="0"/>
    <cacheHierarchy uniqueName="[Measures].[Gross Profit Margin Budget]" caption="Gross Profit Margin Budget" measure="1" displayFolder="" measureGroup="Actuals1_1" count="0"/>
    <cacheHierarchy uniqueName="[Measures].[Gross Profit Margin/Gross Profit Margin PY %]" caption="Gross Profit Margin/Gross Profit Margin PY %" measure="1" displayFolder="" measureGroup="Actuals1_1" count="0" oneField="1">
      <fieldsUsage count="1">
        <fieldUsage x="2"/>
      </fieldsUsage>
    </cacheHierarchy>
    <cacheHierarchy uniqueName="[Measures].[Gross Profit Margin/Gross Profit Margin Budget %]" caption="Gross Profit Margin/Gross Profit Margin Budget %" measure="1" displayFolder="" measureGroup="Actuals1_1" count="0" oneField="1">
      <fieldsUsage count="1">
        <fieldUsage x="3"/>
      </fieldsUsage>
    </cacheHierarchy>
    <cacheHierarchy uniqueName="[Measures].[EBITDA Margin PY]" caption="EBITDA Margin PY" measure="1" displayFolder="" measureGroup="Actuals1_1" count="0"/>
    <cacheHierarchy uniqueName="[Measures].[EBITDA Margin Budget]" caption="EBITDA Margin Budget" measure="1" displayFolder="" measureGroup="Actuals1_1" count="0"/>
    <cacheHierarchy uniqueName="[Measures].[EBITDA Margin / EBITDA Margin PY]" caption="EBITDA Margin / EBITDA Margin PY" measure="1" displayFolder="" measureGroup="Actuals1_1" count="0" oneField="1">
      <fieldsUsage count="1">
        <fieldUsage x="4"/>
      </fieldsUsage>
    </cacheHierarchy>
    <cacheHierarchy uniqueName="[Measures].[EBITDA Margin/EBITDA Margin Budget]" caption="EBITDA Margin/EBITDA Margin Budget" measure="1" displayFolder="" measureGroup="Actuals1_1" count="0" oneField="1">
      <fieldsUsage count="1">
        <fieldUsage x="5"/>
      </fieldsUsage>
    </cacheHierarchy>
    <cacheHierarchy uniqueName="[Measures].[COGS to Revenue PY]" caption="COGS to Revenue PY" measure="1" displayFolder="" measureGroup="Actuals1_1" count="0"/>
    <cacheHierarchy uniqueName="[Measures].[COGS to Revenue Budget]" caption="COGS to Revenue Budget" measure="1" displayFolder="" measureGroup="Actuals1_1" count="0"/>
    <cacheHierarchy uniqueName="[Measures].[COGS to Revenue / COGS to Revenue PY]" caption="COGS to Revenue / COGS to Revenue PY" measure="1" displayFolder="" measureGroup="Actuals1_1" count="0" oneField="1">
      <fieldsUsage count="1">
        <fieldUsage x="6"/>
      </fieldsUsage>
    </cacheHierarchy>
    <cacheHierarchy uniqueName="[Measures].[COGS to Revenue / COGS to Revenue Budget]" caption="COGS to Revenue / COGS to Revenue Budget" measure="1" displayFolder="" measureGroup="Actuals1_1" count="0" oneField="1">
      <fieldsUsage count="1">
        <fieldUsage x="7"/>
      </fieldsUsage>
    </cacheHierarchy>
    <cacheHierarchy uniqueName="[Measures].[COGS]" caption="COGS" measure="1" displayFolder="" measureGroup="Actuals1_1" count="0"/>
    <cacheHierarchy uniqueName="[Measures].[COGS1]" caption="COGS1" measure="1" displayFolder="" measureGroup="Actuals1_1" count="0"/>
    <cacheHierarchy uniqueName="[Measures].[Gross Profit Margin]" caption="Gross Profit Margin" measure="1" displayFolder="" measureGroup="Actuals1_1" count="0"/>
    <cacheHierarchy uniqueName="[Measures].[Gross Profit Margin 1]" caption="Gross Profit Margin 1" measure="1" displayFolder="" measureGroup="Actuals1_1" count="0"/>
    <cacheHierarchy uniqueName="[Measures].[EBITDA Margin]" caption="EBITDA Margin" measure="1" displayFolder="" measureGroup="Actuals1_1" count="0"/>
    <cacheHierarchy uniqueName="[Measures].[EBITDA Margin 1]" caption="EBITDA Margin 1" measure="1" displayFolder="" measureGroup="Actuals1_1" count="0"/>
    <cacheHierarchy uniqueName="[Measures].[COGS to Revenue]" caption="COGS to Revenue" measure="1" displayFolder="" measureGroup="Actuals1_1" count="0"/>
    <cacheHierarchy uniqueName="[Measures].[COGS to Revenue 1]" caption="COGS to Revenue 1" measure="1" displayFolder="" measureGroup="Actuals1_1" count="0"/>
    <cacheHierarchy uniqueName="[Measures].[__XL_Count Actuals1_1]" caption="__XL_Count Actuals1_1" measure="1" displayFolder="" measureGroup="Actuals1_1" count="0" hidden="1"/>
    <cacheHierarchy uniqueName="[Measures].[__XL_Count P_L]" caption="__XL_Count P_L" measure="1" displayFolder="" measureGroup="P_L" count="0" hidden="1"/>
    <cacheHierarchy uniqueName="[Measures].[__XL_Count Date]" caption="__XL_Count Date" measure="1" displayFolder="" measureGroup="Date" count="0" hidden="1"/>
    <cacheHierarchy uniqueName="[Measures].[__XL_Count Budget2_1]" caption="__XL_Count Budget2_1" measure="1" displayFolder="" measureGroup="Budget2_1" count="0" hidden="1"/>
    <cacheHierarchy uniqueName="[Measures].[__Nie zdefiniowano żadnych miar]" caption="__Nie zdefiniowano żadnych miar" measure="1" displayFolder="" count="0" hidden="1"/>
    <cacheHierarchy uniqueName="[Measures].[_COGS Goal]" caption="_COGS Goal" measure="1" displayFolder="" measureGroup="Actuals1_1" count="0" hidden="1"/>
    <cacheHierarchy uniqueName="[Measures].[_COGS Status]" caption="_COGS Status" measure="1" iconSet="11" displayFolder="" measureGroup="Actuals1_1" count="0" hidden="1"/>
    <cacheHierarchy uniqueName="[Measures].[_COGS1 Goal]" caption="_COGS1 Goal" measure="1" displayFolder="" measureGroup="Actuals1_1" count="0" hidden="1"/>
    <cacheHierarchy uniqueName="[Measures].[_COGS1 Status]" caption="_COGS1 Status" measure="1" iconSet="11" displayFolder="" measureGroup="Actuals1_1" count="0" hidden="1"/>
    <cacheHierarchy uniqueName="[Measures].[_Gross Profit Margin Goal]" caption="_Gross Profit Margin Goal" measure="1" displayFolder="" measureGroup="Actuals1_1" count="0" hidden="1"/>
    <cacheHierarchy uniqueName="[Measures].[_Gross Profit Margin Status]" caption="_Gross Profit Margin Status" measure="1" iconSet="11" displayFolder="" measureGroup="Actuals1_1" count="0" hidden="1"/>
    <cacheHierarchy uniqueName="[Measures].[_Gross Profit Margin 1 Goal]" caption="_Gross Profit Margin 1 Goal" measure="1" displayFolder="" measureGroup="Actuals1_1" count="0" hidden="1"/>
    <cacheHierarchy uniqueName="[Measures].[_Gross Profit Margin 1 Status]" caption="_Gross Profit Margin 1 Status" measure="1" iconSet="11" displayFolder="" measureGroup="Actuals1_1" count="0" hidden="1"/>
    <cacheHierarchy uniqueName="[Measures].[_EBITDA Margin Goal]" caption="_EBITDA Margin Goal" measure="1" displayFolder="" measureGroup="Actuals1_1" count="0" hidden="1"/>
    <cacheHierarchy uniqueName="[Measures].[_EBITDA Margin Status]" caption="_EBITDA Margin Status" measure="1" iconSet="11" displayFolder="" measureGroup="Actuals1_1" count="0" hidden="1"/>
    <cacheHierarchy uniqueName="[Measures].[_EBITDA Margin 1 Goal]" caption="_EBITDA Margin 1 Goal" measure="1" displayFolder="" measureGroup="Actuals1_1" count="0" hidden="1"/>
    <cacheHierarchy uniqueName="[Measures].[_EBITDA Margin 1 Status]" caption="_EBITDA Margin 1 Status" measure="1" iconSet="11" displayFolder="" measureGroup="Actuals1_1" count="0" hidden="1"/>
    <cacheHierarchy uniqueName="[Measures].[_COGS to Revenue Goal]" caption="_COGS to Revenue Goal" measure="1" displayFolder="" measureGroup="Actuals1_1" count="0" hidden="1"/>
    <cacheHierarchy uniqueName="[Measures].[_COGS to Revenue Status]" caption="_COGS to Revenue Status" measure="1" iconSet="11" displayFolder="" measureGroup="Actuals1_1" count="0" hidden="1"/>
    <cacheHierarchy uniqueName="[Measures].[_COGS to Revenue 1 Goal]" caption="_COGS to Revenue 1 Goal" measure="1" displayFolder="" measureGroup="Actuals1_1" count="0" hidden="1"/>
    <cacheHierarchy uniqueName="[Measures].[_COGS to Revenue 1 Status]" caption="_COGS to Revenue 1 Status" measure="1" iconSet="11" displayFolder="" measureGroup="Actuals1_1" count="0" hidden="1"/>
  </cacheHierarchies>
  <kpis count="8">
    <kpi uniqueName="COGS" caption="COGS" displayFolder="" measureGroup="Actuals1_1" parent="" value="[Measures].[COGS]" goal="[Measures].[_COGS Goal]" status="[Measures].[_COGS Status]" trend="" weight=""/>
    <kpi uniqueName="COGS1" caption="COGS1" displayFolder="" measureGroup="Actuals1_1" parent="" value="[Measures].[COGS1]" goal="[Measures].[_COGS1 Goal]" status="[Measures].[_COGS1 Status]" trend="" weight=""/>
    <kpi uniqueName="Gross Profit Margin" caption="Gross Profit Margin" displayFolder="" measureGroup="Actuals1_1" parent="" value="[Measures].[Gross Profit Margin]" goal="[Measures].[_Gross Profit Margin Goal]" status="[Measures].[_Gross Profit Margin Status]" trend="" weight=""/>
    <kpi uniqueName="Gross Profit Margin 1" caption="Gross Profit Margin 1" displayFolder="" measureGroup="Actuals1_1" parent="" value="[Measures].[Gross Profit Margin 1]" goal="[Measures].[_Gross Profit Margin 1 Goal]" status="[Measures].[_Gross Profit Margin 1 Status]" trend="" weight=""/>
    <kpi uniqueName="EBITDA Margin" caption="EBITDA Margin" displayFolder="" measureGroup="Actuals1_1" parent="" value="[Measures].[EBITDA Margin]" goal="[Measures].[_EBITDA Margin Goal]" status="[Measures].[_EBITDA Margin Status]" trend="" weight=""/>
    <kpi uniqueName="EBITDA Margin 1" caption="EBITDA Margin 1" displayFolder="" measureGroup="Actuals1_1" parent="" value="[Measures].[EBITDA Margin 1]" goal="[Measures].[_EBITDA Margin 1 Goal]" status="[Measures].[_EBITDA Margin 1 Status]" trend="" weight=""/>
    <kpi uniqueName="COGS to Revenue" caption="COGS to Revenue" displayFolder="" measureGroup="Actuals1_1" parent="" value="[Measures].[COGS to Revenue]" goal="[Measures].[_COGS to Revenue Goal]" status="[Measures].[_COGS to Revenue Status]" trend="" weight=""/>
    <kpi uniqueName="COGS to Revenue 1" caption="COGS to Revenue 1" displayFolder="" measureGroup="Actuals1_1" parent="" value="[Measures].[COGS to Revenue 1]" goal="[Measures].[_COGS to Revenue 1 Goal]" status="[Measures].[_COGS to Revenue 1 Status]" trend="" weight=""/>
  </kpis>
  <dimensions count="5">
    <dimension name="Actuals1_1" uniqueName="[Actuals1_1]" caption="Actuals1_1"/>
    <dimension name="Budget2_1" uniqueName="[Budget2_1]" caption="Budget2_1"/>
    <dimension name="Date" uniqueName="[Date]" caption="Date"/>
    <dimension measure="1" name="Measures" uniqueName="[Measures]" caption="Measures"/>
    <dimension name="P_L" uniqueName="[P_L]" caption="P_L"/>
  </dimensions>
  <measureGroups count="4">
    <measureGroup name="Actuals1_1" caption="Actuals1_1"/>
    <measureGroup name="Budget2_1" caption="Budget2_1"/>
    <measureGroup name="Date" caption="Date"/>
    <measureGroup name="P_L" caption="P_L"/>
  </measureGroups>
  <maps count="8">
    <map measureGroup="0" dimension="0"/>
    <map measureGroup="0" dimension="2"/>
    <map measureGroup="0" dimension="4"/>
    <map measureGroup="1" dimension="1"/>
    <map measureGroup="1" dimension="2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Mateusz Kowalczyk" refreshedDate="46108.763909143519" backgroundQuery="1" createdVersion="8" refreshedVersion="8" minRefreshableVersion="3" recordCount="0" supportSubquery="1" supportAdvancedDrill="1" xr:uid="{CBDF91A3-2F95-453F-86B0-0DBAD87CF441}">
  <cacheSource type="external" connectionId="1"/>
  <cacheFields count="9">
    <cacheField name="[P_L].[Type].[Type]" caption="Type" numFmtId="0" hierarchy="27" level="1">
      <sharedItems count="7">
        <s v="A. Revenue"/>
        <s v="B. COGS"/>
        <s v="C. Gross Profit"/>
        <s v="D. Variable Costs"/>
        <s v="E. Contribution Profit"/>
        <s v="F. OPEX"/>
        <s v="G. EBITDA"/>
      </sharedItems>
    </cacheField>
    <cacheField name="[P_L].[Type1].[Type1]" caption="Type1" numFmtId="0" hierarchy="28" level="1">
      <sharedItems containsBlank="1" count="10">
        <m/>
        <s v="Distribution"/>
        <s v="Payment"/>
        <s v="Warehouse"/>
        <s v="Consulting"/>
        <s v="Insurances"/>
        <s v="Labour"/>
        <s v="Marketing"/>
        <s v="Rent"/>
        <s v="Travel"/>
      </sharedItems>
    </cacheField>
    <cacheField name="[P_L].[Name].[Name]" caption="Name" numFmtId="0" hierarchy="29" level="1">
      <sharedItems containsBlank="1" count="28">
        <s v="Revenue (DE)"/>
        <s v="Revenue (NL)"/>
        <s v="Revenue (PL)"/>
        <s v="COGS (DE)"/>
        <s v="COGS (NL)"/>
        <s v="COGS (Others)"/>
        <s v="COGS (PL)"/>
        <m/>
        <s v="Distribution (Different Carriers)"/>
        <s v="Distribution (Package Material)"/>
        <s v="Payment (Credit Card)"/>
        <s v="Payment (PayPal)"/>
        <s v="Warehouse"/>
        <s v="Consulting (BCG, KPMG, etc.)"/>
        <s v="Consulting (for different IT-Tools)"/>
        <s v="Insurance (Cyber Security)"/>
        <s v="Insurance (Legal Protection)"/>
        <s v="Insurance (Others)"/>
        <s v="Labour (Bonuses)"/>
        <s v="Labour (Salaries)"/>
        <s v="Labour (Social Contributions)"/>
        <s v="Marketing (Flyers)"/>
        <s v="Marketing (Google)"/>
        <s v="Marketing (Meta)"/>
        <s v="Marketing (Print)"/>
        <s v="Marketing (TV)"/>
        <s v="Rent"/>
        <s v="Travel"/>
      </sharedItems>
      <extLst>
        <ext xmlns:x15="http://schemas.microsoft.com/office/spreadsheetml/2010/11/main" uri="{4F2E5C28-24EA-4eb8-9CBF-B6C8F9C3D259}">
          <x15:cachedUniqueNames>
            <x15:cachedUniqueName index="0" name="[P_L].[Name].&amp;[Revenue (DE)]"/>
            <x15:cachedUniqueName index="1" name="[P_L].[Name].&amp;[Revenue (NL)]"/>
            <x15:cachedUniqueName index="2" name="[P_L].[Name].&amp;[Revenue (PL)]"/>
            <x15:cachedUniqueName index="3" name="[P_L].[Name].&amp;[COGS (DE)]"/>
            <x15:cachedUniqueName index="4" name="[P_L].[Name].&amp;[COGS (NL)]"/>
            <x15:cachedUniqueName index="5" name="[P_L].[Name].&amp;[COGS (Others)]"/>
            <x15:cachedUniqueName index="6" name="[P_L].[Name].&amp;[COGS (PL)]"/>
            <x15:cachedUniqueName index="7" name="[P_L].[Name].&amp;"/>
            <x15:cachedUniqueName index="8" name="[P_L].[Name].&amp;[Distribution (Different Carriers)]"/>
            <x15:cachedUniqueName index="9" name="[P_L].[Name].&amp;[Distribution (Package Material)]"/>
            <x15:cachedUniqueName index="10" name="[P_L].[Name].&amp;[Payment (Credit Card)]"/>
            <x15:cachedUniqueName index="11" name="[P_L].[Name].&amp;[Payment (PayPal)]"/>
            <x15:cachedUniqueName index="12" name="[P_L].[Name].&amp;[Warehouse]"/>
            <x15:cachedUniqueName index="13" name="[P_L].[Name].&amp;[Consulting (BCG, KPMG, etc.)]"/>
            <x15:cachedUniqueName index="14" name="[P_L].[Name].&amp;[Consulting (for different IT-Tools)]"/>
            <x15:cachedUniqueName index="15" name="[P_L].[Name].&amp;[Insurance (Cyber Security)]"/>
            <x15:cachedUniqueName index="16" name="[P_L].[Name].&amp;[Insurance (Legal Protection)]"/>
            <x15:cachedUniqueName index="17" name="[P_L].[Name].&amp;[Insurance (Others)]"/>
            <x15:cachedUniqueName index="18" name="[P_L].[Name].&amp;[Labour (Bonuses)]"/>
            <x15:cachedUniqueName index="19" name="[P_L].[Name].&amp;[Labour (Salaries)]"/>
            <x15:cachedUniqueName index="20" name="[P_L].[Name].&amp;[Labour (Social Contributions)]"/>
            <x15:cachedUniqueName index="21" name="[P_L].[Name].&amp;[Marketing (Flyers)]"/>
            <x15:cachedUniqueName index="22" name="[P_L].[Name].&amp;[Marketing (Google)]"/>
            <x15:cachedUniqueName index="23" name="[P_L].[Name].&amp;[Marketing (Meta)]"/>
            <x15:cachedUniqueName index="24" name="[P_L].[Name].&amp;[Marketing (Print)]"/>
            <x15:cachedUniqueName index="25" name="[P_L].[Name].&amp;[Marketing (TV)]"/>
            <x15:cachedUniqueName index="26" name="[P_L].[Name].&amp;[Rent]"/>
            <x15:cachedUniqueName index="27" name="[P_L].[Name].&amp;[Travel]"/>
          </x15:cachedUniqueNames>
        </ext>
      </extLst>
    </cacheField>
    <cacheField name="[Measures].[Variance to Budget %]" caption="Variance to Budget %" numFmtId="0" hierarchy="40" level="32767"/>
    <cacheField name="[Measures].[YoY %]" caption="YoY %" numFmtId="0" hierarchy="36" level="32767"/>
    <cacheField name="[Measures].[MoM %]" caption="MoM %" numFmtId="0" hierarchy="34" level="32767"/>
    <cacheField name="[Date].[Year].[Year]" caption="Year" numFmtId="0" hierarchy="17" level="1">
      <sharedItems containsSemiMixedTypes="0" containsString="0" containsNumber="1" containsInteger="1" minValue="2025" maxValue="2025" count="1">
        <n v="2025"/>
      </sharedItems>
      <extLst>
        <ext xmlns:x15="http://schemas.microsoft.com/office/spreadsheetml/2010/11/main" uri="{4F2E5C28-24EA-4eb8-9CBF-B6C8F9C3D259}">
          <x15:cachedUniqueNames>
            <x15:cachedUniqueName index="0" name="[Date].[Year].&amp;[2025]"/>
          </x15:cachedUniqueNames>
        </ext>
      </extLst>
    </cacheField>
    <cacheField name="[Date].[Quarter].[Quarter]" caption="Quarter" numFmtId="0" hierarchy="22" level="1">
      <sharedItems count="2">
        <s v="Q1"/>
        <s v="Q2"/>
      </sharedItems>
    </cacheField>
    <cacheField name="[Date].[Month short].[Month short]" caption="Month short" numFmtId="0" hierarchy="24" level="1">
      <sharedItems count="6">
        <s v="Jan"/>
        <s v="Feb"/>
        <s v="Mar"/>
        <s v="Apr"/>
        <s v="May"/>
        <s v="Jun"/>
      </sharedItems>
    </cacheField>
  </cacheFields>
  <cacheHierarchies count="86">
    <cacheHierarchy uniqueName="[Actuals1_1].[Account]" caption="Account" attribute="1" defaultMemberUniqueName="[Actuals1_1].[Account].[All]" allUniqueName="[Actuals1_1].[Account].[All]" dimensionUniqueName="[Actuals1_1]" displayFolder="" count="0" memberValueDatatype="5" unbalanced="0"/>
    <cacheHierarchy uniqueName="[Actuals1_1].[Name]" caption="Name" attribute="1" defaultMemberUniqueName="[Actuals1_1].[Name].[All]" allUniqueName="[Actuals1_1].[Name].[All]" dimensionUniqueName="[Actuals1_1]" displayFolder="" count="0" memberValueDatatype="130" unbalanced="0"/>
    <cacheHierarchy uniqueName="[Actuals1_1].[Type]" caption="Type" attribute="1" defaultMemberUniqueName="[Actuals1_1].[Type].[All]" allUniqueName="[Actuals1_1].[Type].[All]" dimensionUniqueName="[Actuals1_1]" displayFolder="" count="0" memberValueDatatype="130" unbalanced="0"/>
    <cacheHierarchy uniqueName="[Actuals1_1].[Type1]" caption="Type1" attribute="1" defaultMemberUniqueName="[Actuals1_1].[Type1].[All]" allUniqueName="[Actuals1_1].[Type1].[All]" dimensionUniqueName="[Actuals1_1]" displayFolder="" count="0" memberValueDatatype="130" unbalanced="0"/>
    <cacheHierarchy uniqueName="[Actuals1_1].[Period]" caption="Period" attribute="1" time="1" defaultMemberUniqueName="[Actuals1_1].[Period].[All]" allUniqueName="[Actuals1_1].[Period].[All]" dimensionUniqueName="[Actuals1_1]" displayFolder="" count="0" memberValueDatatype="7" unbalanced="0"/>
    <cacheHierarchy uniqueName="[Actuals1_1].[Value]" caption="Value" attribute="1" defaultMemberUniqueName="[Actuals1_1].[Value].[All]" allUniqueName="[Actuals1_1].[Value].[All]" dimensionUniqueName="[Actuals1_1]" displayFolder="" count="0" memberValueDatatype="5" unbalanced="0"/>
    <cacheHierarchy uniqueName="[Actuals1_1].[Key]" caption="Key" attribute="1" defaultMemberUniqueName="[Actuals1_1].[Key].[All]" allUniqueName="[Actuals1_1].[Key].[All]" dimensionUniqueName="[Actuals1_1]" displayFolder="" count="0" memberValueDatatype="130" unbalanced="0"/>
    <cacheHierarchy uniqueName="[Actuals1_1].[Period (rok)]" caption="Period (rok)" attribute="1" defaultMemberUniqueName="[Actuals1_1].[Period (rok)].[All]" allUniqueName="[Actuals1_1].[Period (rok)].[All]" dimensionUniqueName="[Actuals1_1]" displayFolder="" count="0" memberValueDatatype="130" unbalanced="0"/>
    <cacheHierarchy uniqueName="[Actuals1_1].[Period (kwartał)]" caption="Period (kwartał)" attribute="1" defaultMemberUniqueName="[Actuals1_1].[Period (kwartał)].[All]" allUniqueName="[Actuals1_1].[Period (kwartał)].[All]" dimensionUniqueName="[Actuals1_1]" displayFolder="" count="0" memberValueDatatype="130" unbalanced="0"/>
    <cacheHierarchy uniqueName="[Actuals1_1].[Period (miesiąc)]" caption="Period (miesiąc)" attribute="1" defaultMemberUniqueName="[Actuals1_1].[Period (miesiąc)].[All]" allUniqueName="[Actuals1_1].[Period (miesiąc)].[All]" dimensionUniqueName="[Actuals1_1]" displayFolder="" count="0" memberValueDatatype="130" unbalanced="0"/>
    <cacheHierarchy uniqueName="[Budget2_1].[Type]" caption="Type" attribute="1" defaultMemberUniqueName="[Budget2_1].[Type].[All]" allUniqueName="[Budget2_1].[Type].[All]" dimensionUniqueName="[Budget2_1]" displayFolder="" count="0" memberValueDatatype="130" unbalanced="0"/>
    <cacheHierarchy uniqueName="[Budget2_1].[Type1]" caption="Type1" attribute="1" defaultMemberUniqueName="[Budget2_1].[Type1].[All]" allUniqueName="[Budget2_1].[Type1].[All]" dimensionUniqueName="[Budget2_1]" displayFolder="" count="0" memberValueDatatype="130" unbalanced="0"/>
    <cacheHierarchy uniqueName="[Budget2_1].[Name]" caption="Name" attribute="1" defaultMemberUniqueName="[Budget2_1].[Name].[All]" allUniqueName="[Budget2_1].[Name].[All]" dimensionUniqueName="[Budget2_1]" displayFolder="" count="0" memberValueDatatype="130" unbalanced="0"/>
    <cacheHierarchy uniqueName="[Budget2_1].[Period]" caption="Period" attribute="1" time="1" defaultMemberUniqueName="[Budget2_1].[Period].[All]" allUniqueName="[Budget2_1].[Period].[All]" dimensionUniqueName="[Budget2_1]" displayFolder="" count="0" memberValueDatatype="7" unbalanced="0"/>
    <cacheHierarchy uniqueName="[Budget2_1].[Value]" caption="Value" attribute="1" defaultMemberUniqueName="[Budget2_1].[Value].[All]" allUniqueName="[Budget2_1].[Value].[All]" dimensionUniqueName="[Budget2_1]" displayFolder="" count="0" memberValueDatatype="5" unbalanced="0"/>
    <cacheHierarchy uniqueName="[Budget2_1].[Key]" caption="Key" attribute="1" defaultMemberUniqueName="[Budget2_1].[Key].[All]" allUniqueName="[Budget2_1].[Key].[All]" dimensionUniqueName="[Budget2_1]" displayFolder="" count="0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Year]" caption="Year" attribute="1" time="1" defaultMemberUniqueName="[Date].[Year].[All]" allUniqueName="[Date].[Year].[All]" dimensionUniqueName="[Date]" displayFolder="" count="2" memberValueDatatype="20" unbalanced="0">
      <fieldsUsage count="2">
        <fieldUsage x="-1"/>
        <fieldUsage x="6"/>
      </fieldsUsage>
    </cacheHierarchy>
    <cacheHierarchy uniqueName="[Date].[Month Number]" caption="Month Number" attribute="1" time="1" defaultMemberUniqueName="[Date].[Month Number].[All]" allUniqueName="[Date].[Month Number].[All]" dimensionUniqueName="[Date]" displayFolder="" count="0" memberValueDatatype="20" unbalanced="0"/>
    <cacheHierarchy uniqueName="[Date].[Hierarchia1]" caption="Hierarchia1" time="1" defaultMemberUniqueName="[Date].[Hierarchia1].[All]" allUniqueName="[Date].[Hierarchia1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ate].[Year-Month]" caption="Year-Month" attribute="1" time="1" defaultMemberUniqueName="[Date].[Year-Month].[All]" allUniqueName="[Date].[Year-Month].[All]" dimensionUniqueName="[Date]" displayFolder="" count="0" memberValueDatatype="130" unbalanced="0"/>
    <cacheHierarchy uniqueName="[Date].[Quarter]" caption="Quarter" attribute="1" time="1" defaultMemberUniqueName="[Date].[Quarter].[All]" allUniqueName="[Date].[Quarter].[All]" dimensionUniqueName="[Date]" displayFolder="" count="2" memberValueDatatype="130" unbalanced="0">
      <fieldsUsage count="2">
        <fieldUsage x="-1"/>
        <fieldUsage x="7"/>
      </fieldsUsage>
    </cacheHierarchy>
    <cacheHierarchy uniqueName="[Date].[Day]" caption="Day" attribute="1" time="1" defaultMemberUniqueName="[Date].[Day].[All]" allUniqueName="[Date].[Day].[All]" dimensionUniqueName="[Date]" displayFolder="" count="0" memberValueDatatype="20" unbalanced="0"/>
    <cacheHierarchy uniqueName="[Date].[Month short]" caption="Month short" attribute="1" time="1" defaultMemberUniqueName="[Date].[Month short].[All]" allUniqueName="[Date].[Month short].[All]" dimensionUniqueName="[Date]" displayFolder="" count="2" memberValueDatatype="130" unbalanced="0">
      <fieldsUsage count="2">
        <fieldUsage x="-1"/>
        <fieldUsage x="8"/>
      </fieldsUsage>
    </cacheHierarchy>
    <cacheHierarchy uniqueName="[Date].[EndOfMonthDate]" caption="EndOfMonthDate" attribute="1" time="1" defaultMemberUniqueName="[Date].[EndOfMonthDate].[All]" allUniqueName="[Date].[EndOfMonthDate].[All]" dimensionUniqueName="[Date]" displayFolder="" count="0" memberValueDatatype="7" unbalanced="0"/>
    <cacheHierarchy uniqueName="[P_L].[Account]" caption="Account" attribute="1" defaultMemberUniqueName="[P_L].[Account].[All]" allUniqueName="[P_L].[Account].[All]" dimensionUniqueName="[P_L]" displayFolder="" count="0" memberValueDatatype="5" unbalanced="0"/>
    <cacheHierarchy uniqueName="[P_L].[Type]" caption="Type" attribute="1" defaultMemberUniqueName="[P_L].[Type].[All]" allUniqueName="[P_L].[Type].[All]" dimensionUniqueName="[P_L]" displayFolder="" count="2" memberValueDatatype="130" unbalanced="0">
      <fieldsUsage count="2">
        <fieldUsage x="-1"/>
        <fieldUsage x="0"/>
      </fieldsUsage>
    </cacheHierarchy>
    <cacheHierarchy uniqueName="[P_L].[Type1]" caption="Type1" attribute="1" defaultMemberUniqueName="[P_L].[Type1].[All]" allUniqueName="[P_L].[Type1].[All]" dimensionUniqueName="[P_L]" displayFolder="" count="2" memberValueDatatype="130" unbalanced="0">
      <fieldsUsage count="2">
        <fieldUsage x="-1"/>
        <fieldUsage x="1"/>
      </fieldsUsage>
    </cacheHierarchy>
    <cacheHierarchy uniqueName="[P_L].[Name]" caption="Name" attribute="1" defaultMemberUniqueName="[P_L].[Name].[All]" allUniqueName="[P_L].[Name].[All]" dimensionUniqueName="[P_L]" displayFolder="" count="2" memberValueDatatype="130" unbalanced="0">
      <fieldsUsage count="2">
        <fieldUsage x="-1"/>
        <fieldUsage x="2"/>
      </fieldsUsage>
    </cacheHierarchy>
    <cacheHierarchy uniqueName="[P_L].[Key]" caption="Key" attribute="1" defaultMemberUniqueName="[P_L].[Key].[All]" allUniqueName="[P_L].[Key].[All]" dimensionUniqueName="[P_L]" displayFolder="" count="0" memberValueDatatype="130" unbalanced="0"/>
    <cacheHierarchy uniqueName="[Actuals1_1].[Period (indeks miesiąca)]" caption="Period (indeks miesiąca)" attribute="1" defaultMemberUniqueName="[Actuals1_1].[Period (indeks miesiąca)].[All]" allUniqueName="[Actuals1_1].[Period (indeks miesiąca)].[All]" dimensionUniqueName="[Actuals1_1]" displayFolder="" count="0" memberValueDatatype="20" unbalanced="0" hidden="1"/>
    <cacheHierarchy uniqueName="[Measures].[Suma Value]" caption="Suma Value" measure="1" displayFolder="" measureGroup="Actuals1_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Value 2]" caption="Suma Value 2" measure="1" displayFolder="" measureGroup="Budget2_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M %]" caption="MoM %" measure="1" displayFolder="" measureGroup="Actuals1_1" count="0" oneField="1">
      <fieldsUsage count="1">
        <fieldUsage x="5"/>
      </fieldsUsage>
    </cacheHierarchy>
    <cacheHierarchy uniqueName="[Measures].[Actuals]" caption="Actuals" measure="1" displayFolder="" measureGroup="Actuals1_1" count="0"/>
    <cacheHierarchy uniqueName="[Measures].[YoY %]" caption="YoY %" measure="1" displayFolder="" measureGroup="Actuals1_1" count="0" oneField="1">
      <fieldsUsage count="1">
        <fieldUsage x="4"/>
      </fieldsUsage>
    </cacheHierarchy>
    <cacheHierarchy uniqueName="[Measures].[Actuals MTD]" caption="Actuals MTD" measure="1" displayFolder="" measureGroup="Actuals1_1" count="0"/>
    <cacheHierarchy uniqueName="[Measures].[Actuals PY]" caption="Actuals PY" measure="1" displayFolder="" measureGroup="Actuals1_1" count="0"/>
    <cacheHierarchy uniqueName="[Measures].[Budget]" caption="Budget" measure="1" displayFolder="" measureGroup="Budget2_1" count="0"/>
    <cacheHierarchy uniqueName="[Measures].[Variance to Budget %]" caption="Variance to Budget %" measure="1" displayFolder="" measureGroup="Actuals1_1" count="0" oneField="1">
      <fieldsUsage count="1">
        <fieldUsage x="3"/>
      </fieldsUsage>
    </cacheHierarchy>
    <cacheHierarchy uniqueName="[Measures].[COGS PY]" caption="COGS PY" measure="1" displayFolder="" measureGroup="Actuals1_1" count="0"/>
    <cacheHierarchy uniqueName="[Measures].[COGS/COGS PY %]" caption="COGS/COGS PY %" measure="1" displayFolder="" measureGroup="Actuals1_1" count="0"/>
    <cacheHierarchy uniqueName="[Measures].[COGS Budget]" caption="COGS Budget" measure="1" displayFolder="" measureGroup="Budget2_1" count="0"/>
    <cacheHierarchy uniqueName="[Measures].[COGS/Budget %]" caption="COGS/Budget %" measure="1" displayFolder="" measureGroup="Actuals1_1" count="0"/>
    <cacheHierarchy uniqueName="[Measures].[Gross Profit Margin PY]" caption="Gross Profit Margin PY" measure="1" displayFolder="" measureGroup="Actuals1_1" count="0"/>
    <cacheHierarchy uniqueName="[Measures].[Gross Profit Margin Budget]" caption="Gross Profit Margin Budget" measure="1" displayFolder="" measureGroup="Actuals1_1" count="0"/>
    <cacheHierarchy uniqueName="[Measures].[Gross Profit Margin/Gross Profit Margin PY %]" caption="Gross Profit Margin/Gross Profit Margin PY %" measure="1" displayFolder="" measureGroup="Actuals1_1" count="0"/>
    <cacheHierarchy uniqueName="[Measures].[Gross Profit Margin/Gross Profit Margin Budget %]" caption="Gross Profit Margin/Gross Profit Margin Budget %" measure="1" displayFolder="" measureGroup="Actuals1_1" count="0"/>
    <cacheHierarchy uniqueName="[Measures].[EBITDA Margin PY]" caption="EBITDA Margin PY" measure="1" displayFolder="" measureGroup="Actuals1_1" count="0"/>
    <cacheHierarchy uniqueName="[Measures].[EBITDA Margin Budget]" caption="EBITDA Margin Budget" measure="1" displayFolder="" measureGroup="Actuals1_1" count="0"/>
    <cacheHierarchy uniqueName="[Measures].[EBITDA Margin / EBITDA Margin PY]" caption="EBITDA Margin / EBITDA Margin PY" measure="1" displayFolder="" measureGroup="Actuals1_1" count="0"/>
    <cacheHierarchy uniqueName="[Measures].[EBITDA Margin/EBITDA Margin Budget]" caption="EBITDA Margin/EBITDA Margin Budget" measure="1" displayFolder="" measureGroup="Actuals1_1" count="0"/>
    <cacheHierarchy uniqueName="[Measures].[COGS to Revenue PY]" caption="COGS to Revenue PY" measure="1" displayFolder="" measureGroup="Actuals1_1" count="0"/>
    <cacheHierarchy uniqueName="[Measures].[COGS to Revenue Budget]" caption="COGS to Revenue Budget" measure="1" displayFolder="" measureGroup="Actuals1_1" count="0"/>
    <cacheHierarchy uniqueName="[Measures].[COGS to Revenue / COGS to Revenue PY]" caption="COGS to Revenue / COGS to Revenue PY" measure="1" displayFolder="" measureGroup="Actuals1_1" count="0"/>
    <cacheHierarchy uniqueName="[Measures].[COGS to Revenue / COGS to Revenue Budget]" caption="COGS to Revenue / COGS to Revenue Budget" measure="1" displayFolder="" measureGroup="Actuals1_1" count="0"/>
    <cacheHierarchy uniqueName="[Measures].[COGS]" caption="COGS" measure="1" displayFolder="" measureGroup="Actuals1_1" count="0"/>
    <cacheHierarchy uniqueName="[Measures].[COGS1]" caption="COGS1" measure="1" displayFolder="" measureGroup="Actuals1_1" count="0"/>
    <cacheHierarchy uniqueName="[Measures].[Gross Profit Margin]" caption="Gross Profit Margin" measure="1" displayFolder="" measureGroup="Actuals1_1" count="0"/>
    <cacheHierarchy uniqueName="[Measures].[Gross Profit Margin 1]" caption="Gross Profit Margin 1" measure="1" displayFolder="" measureGroup="Actuals1_1" count="0"/>
    <cacheHierarchy uniqueName="[Measures].[EBITDA Margin]" caption="EBITDA Margin" measure="1" displayFolder="" measureGroup="Actuals1_1" count="0"/>
    <cacheHierarchy uniqueName="[Measures].[EBITDA Margin 1]" caption="EBITDA Margin 1" measure="1" displayFolder="" measureGroup="Actuals1_1" count="0"/>
    <cacheHierarchy uniqueName="[Measures].[COGS to Revenue]" caption="COGS to Revenue" measure="1" displayFolder="" measureGroup="Actuals1_1" count="0"/>
    <cacheHierarchy uniqueName="[Measures].[COGS to Revenue 1]" caption="COGS to Revenue 1" measure="1" displayFolder="" measureGroup="Actuals1_1" count="0"/>
    <cacheHierarchy uniqueName="[Measures].[__XL_Count Actuals1_1]" caption="__XL_Count Actuals1_1" measure="1" displayFolder="" measureGroup="Actuals1_1" count="0" hidden="1"/>
    <cacheHierarchy uniqueName="[Measures].[__XL_Count P_L]" caption="__XL_Count P_L" measure="1" displayFolder="" measureGroup="P_L" count="0" hidden="1"/>
    <cacheHierarchy uniqueName="[Measures].[__XL_Count Date]" caption="__XL_Count Date" measure="1" displayFolder="" measureGroup="Date" count="0" hidden="1"/>
    <cacheHierarchy uniqueName="[Measures].[__XL_Count Budget2_1]" caption="__XL_Count Budget2_1" measure="1" displayFolder="" measureGroup="Budget2_1" count="0" hidden="1"/>
    <cacheHierarchy uniqueName="[Measures].[__Nie zdefiniowano żadnych miar]" caption="__Nie zdefiniowano żadnych miar" measure="1" displayFolder="" count="0" hidden="1"/>
    <cacheHierarchy uniqueName="[Measures].[_COGS Goal]" caption="_COGS Goal" measure="1" displayFolder="" measureGroup="Actuals1_1" count="0" hidden="1"/>
    <cacheHierarchy uniqueName="[Measures].[_COGS Status]" caption="_COGS Status" measure="1" iconSet="11" displayFolder="" measureGroup="Actuals1_1" count="0" hidden="1"/>
    <cacheHierarchy uniqueName="[Measures].[_COGS1 Goal]" caption="_COGS1 Goal" measure="1" displayFolder="" measureGroup="Actuals1_1" count="0" hidden="1"/>
    <cacheHierarchy uniqueName="[Measures].[_COGS1 Status]" caption="_COGS1 Status" measure="1" iconSet="11" displayFolder="" measureGroup="Actuals1_1" count="0" hidden="1"/>
    <cacheHierarchy uniqueName="[Measures].[_Gross Profit Margin Goal]" caption="_Gross Profit Margin Goal" measure="1" displayFolder="" measureGroup="Actuals1_1" count="0" hidden="1"/>
    <cacheHierarchy uniqueName="[Measures].[_Gross Profit Margin Status]" caption="_Gross Profit Margin Status" measure="1" iconSet="11" displayFolder="" measureGroup="Actuals1_1" count="0" hidden="1"/>
    <cacheHierarchy uniqueName="[Measures].[_Gross Profit Margin 1 Goal]" caption="_Gross Profit Margin 1 Goal" measure="1" displayFolder="" measureGroup="Actuals1_1" count="0" hidden="1"/>
    <cacheHierarchy uniqueName="[Measures].[_Gross Profit Margin 1 Status]" caption="_Gross Profit Margin 1 Status" measure="1" iconSet="11" displayFolder="" measureGroup="Actuals1_1" count="0" hidden="1"/>
    <cacheHierarchy uniqueName="[Measures].[_EBITDA Margin Goal]" caption="_EBITDA Margin Goal" measure="1" displayFolder="" measureGroup="Actuals1_1" count="0" hidden="1"/>
    <cacheHierarchy uniqueName="[Measures].[_EBITDA Margin Status]" caption="_EBITDA Margin Status" measure="1" iconSet="11" displayFolder="" measureGroup="Actuals1_1" count="0" hidden="1"/>
    <cacheHierarchy uniqueName="[Measures].[_EBITDA Margin 1 Goal]" caption="_EBITDA Margin 1 Goal" measure="1" displayFolder="" measureGroup="Actuals1_1" count="0" hidden="1"/>
    <cacheHierarchy uniqueName="[Measures].[_EBITDA Margin 1 Status]" caption="_EBITDA Margin 1 Status" measure="1" iconSet="11" displayFolder="" measureGroup="Actuals1_1" count="0" hidden="1"/>
    <cacheHierarchy uniqueName="[Measures].[_COGS to Revenue Goal]" caption="_COGS to Revenue Goal" measure="1" displayFolder="" measureGroup="Actuals1_1" count="0" hidden="1"/>
    <cacheHierarchy uniqueName="[Measures].[_COGS to Revenue Status]" caption="_COGS to Revenue Status" measure="1" iconSet="11" displayFolder="" measureGroup="Actuals1_1" count="0" hidden="1"/>
    <cacheHierarchy uniqueName="[Measures].[_COGS to Revenue 1 Goal]" caption="_COGS to Revenue 1 Goal" measure="1" displayFolder="" measureGroup="Actuals1_1" count="0" hidden="1"/>
    <cacheHierarchy uniqueName="[Measures].[_COGS to Revenue 1 Status]" caption="_COGS to Revenue 1 Status" measure="1" iconSet="11" displayFolder="" measureGroup="Actuals1_1" count="0" hidden="1"/>
  </cacheHierarchies>
  <kpis count="8">
    <kpi uniqueName="COGS" caption="COGS" displayFolder="" measureGroup="Actuals1_1" parent="" value="[Measures].[COGS]" goal="[Measures].[_COGS Goal]" status="[Measures].[_COGS Status]" trend="" weight=""/>
    <kpi uniqueName="COGS1" caption="COGS1" displayFolder="" measureGroup="Actuals1_1" parent="" value="[Measures].[COGS1]" goal="[Measures].[_COGS1 Goal]" status="[Measures].[_COGS1 Status]" trend="" weight=""/>
    <kpi uniqueName="Gross Profit Margin" caption="Gross Profit Margin" displayFolder="" measureGroup="Actuals1_1" parent="" value="[Measures].[Gross Profit Margin]" goal="[Measures].[_Gross Profit Margin Goal]" status="[Measures].[_Gross Profit Margin Status]" trend="" weight=""/>
    <kpi uniqueName="Gross Profit Margin 1" caption="Gross Profit Margin 1" displayFolder="" measureGroup="Actuals1_1" parent="" value="[Measures].[Gross Profit Margin 1]" goal="[Measures].[_Gross Profit Margin 1 Goal]" status="[Measures].[_Gross Profit Margin 1 Status]" trend="" weight=""/>
    <kpi uniqueName="EBITDA Margin" caption="EBITDA Margin" displayFolder="" measureGroup="Actuals1_1" parent="" value="[Measures].[EBITDA Margin]" goal="[Measures].[_EBITDA Margin Goal]" status="[Measures].[_EBITDA Margin Status]" trend="" weight=""/>
    <kpi uniqueName="EBITDA Margin 1" caption="EBITDA Margin 1" displayFolder="" measureGroup="Actuals1_1" parent="" value="[Measures].[EBITDA Margin 1]" goal="[Measures].[_EBITDA Margin 1 Goal]" status="[Measures].[_EBITDA Margin 1 Status]" trend="" weight=""/>
    <kpi uniqueName="COGS to Revenue" caption="COGS to Revenue" displayFolder="" measureGroup="Actuals1_1" parent="" value="[Measures].[COGS to Revenue]" goal="[Measures].[_COGS to Revenue Goal]" status="[Measures].[_COGS to Revenue Status]" trend="" weight=""/>
    <kpi uniqueName="COGS to Revenue 1" caption="COGS to Revenue 1" displayFolder="" measureGroup="Actuals1_1" parent="" value="[Measures].[COGS to Revenue 1]" goal="[Measures].[_COGS to Revenue 1 Goal]" status="[Measures].[_COGS to Revenue 1 Status]" trend="" weight=""/>
  </kpis>
  <dimensions count="5">
    <dimension name="Actuals1_1" uniqueName="[Actuals1_1]" caption="Actuals1_1"/>
    <dimension name="Budget2_1" uniqueName="[Budget2_1]" caption="Budget2_1"/>
    <dimension name="Date" uniqueName="[Date]" caption="Date"/>
    <dimension measure="1" name="Measures" uniqueName="[Measures]" caption="Measures"/>
    <dimension name="P_L" uniqueName="[P_L]" caption="P_L"/>
  </dimensions>
  <measureGroups count="4">
    <measureGroup name="Actuals1_1" caption="Actuals1_1"/>
    <measureGroup name="Budget2_1" caption="Budget2_1"/>
    <measureGroup name="Date" caption="Date"/>
    <measureGroup name="P_L" caption="P_L"/>
  </measureGroups>
  <maps count="8">
    <map measureGroup="0" dimension="0"/>
    <map measureGroup="0" dimension="2"/>
    <map measureGroup="0" dimension="4"/>
    <map measureGroup="1" dimension="1"/>
    <map measureGroup="1" dimension="2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 Kowalczyk" refreshedDate="46108.765218865738" backgroundQuery="1" createdVersion="8" refreshedVersion="8" minRefreshableVersion="3" recordCount="0" supportSubquery="1" supportAdvancedDrill="1" xr:uid="{16151C79-C6A9-45CE-8488-97C3B26309D3}">
  <cacheSource type="external" connectionId="1"/>
  <cacheFields count="9">
    <cacheField name="[P_L].[Type].[Type]" caption="Type" numFmtId="0" hierarchy="27" level="1">
      <sharedItems count="7">
        <s v="A. Revenue"/>
        <s v="B. COGS"/>
        <s v="C. Gross Profit"/>
        <s v="D. Variable Costs"/>
        <s v="E. Contribution Profit"/>
        <s v="F. OPEX"/>
        <s v="G. EBITDA"/>
      </sharedItems>
    </cacheField>
    <cacheField name="[P_L].[Type1].[Type1]" caption="Type1" numFmtId="0" hierarchy="28" level="1">
      <sharedItems containsBlank="1" count="10">
        <m/>
        <s v="Distribution"/>
        <s v="Payment"/>
        <s v="Warehouse"/>
        <s v="Consulting"/>
        <s v="Insurances"/>
        <s v="Labour"/>
        <s v="Marketing"/>
        <s v="Rent"/>
        <s v="Travel"/>
      </sharedItems>
    </cacheField>
    <cacheField name="[P_L].[Name].[Name]" caption="Name" numFmtId="0" hierarchy="29" level="1">
      <sharedItems containsBlank="1" count="28">
        <s v="Revenue (DE)"/>
        <s v="Revenue (NL)"/>
        <s v="Revenue (PL)"/>
        <s v="COGS (DE)"/>
        <s v="COGS (NL)"/>
        <s v="COGS (Others)"/>
        <s v="COGS (PL)"/>
        <m/>
        <s v="Distribution (Different Carriers)"/>
        <s v="Distribution (Package Material)"/>
        <s v="Payment (Credit Card)"/>
        <s v="Payment (PayPal)"/>
        <s v="Warehouse"/>
        <s v="Consulting (BCG, KPMG, etc.)"/>
        <s v="Consulting (for different IT-Tools)"/>
        <s v="Insurance (Cyber Security)"/>
        <s v="Insurance (Legal Protection)"/>
        <s v="Insurance (Others)"/>
        <s v="Labour (Bonuses)"/>
        <s v="Labour (Salaries)"/>
        <s v="Labour (Social Contributions)"/>
        <s v="Marketing (Flyers)"/>
        <s v="Marketing (Google)"/>
        <s v="Marketing (Meta)"/>
        <s v="Marketing (Print)"/>
        <s v="Marketing (TV)"/>
        <s v="Rent"/>
        <s v="Travel"/>
      </sharedItems>
    </cacheField>
    <cacheField name="[Measures].[Actuals]" caption="Actuals" numFmtId="0" hierarchy="35" level="32767"/>
    <cacheField name="[Measures].[Budget]" caption="Budget" numFmtId="0" hierarchy="39" level="32767"/>
    <cacheField name="[Date].[Year].[Year]" caption="Year" numFmtId="0" hierarchy="17" level="1">
      <sharedItems containsSemiMixedTypes="0" containsString="0" containsNumber="1" containsInteger="1" minValue="2025" maxValue="2025" count="1">
        <n v="2025"/>
      </sharedItems>
      <extLst>
        <ext xmlns:x15="http://schemas.microsoft.com/office/spreadsheetml/2010/11/main" uri="{4F2E5C28-24EA-4eb8-9CBF-B6C8F9C3D259}">
          <x15:cachedUniqueNames>
            <x15:cachedUniqueName index="0" name="[Date].[Year].&amp;[2025]"/>
          </x15:cachedUniqueNames>
        </ext>
      </extLst>
    </cacheField>
    <cacheField name="[Date].[Quarter].[Quarter]" caption="Quarter" numFmtId="0" hierarchy="22" level="1">
      <sharedItems count="2">
        <s v="Q1"/>
        <s v="Q2"/>
      </sharedItems>
    </cacheField>
    <cacheField name="[Date].[Month short].[Month short]" caption="Month short" numFmtId="0" hierarchy="24" level="1">
      <sharedItems count="6">
        <s v="Jan"/>
        <s v="Feb"/>
        <s v="Mar"/>
        <s v="Apr"/>
        <s v="May"/>
        <s v="Jun"/>
      </sharedItems>
    </cacheField>
    <cacheField name="[Measures].[Actuals PY]" caption="Actuals PY" numFmtId="0" hierarchy="38" level="32767"/>
  </cacheFields>
  <cacheHierarchies count="86">
    <cacheHierarchy uniqueName="[Actuals1_1].[Account]" caption="Account" attribute="1" defaultMemberUniqueName="[Actuals1_1].[Account].[All]" allUniqueName="[Actuals1_1].[Account].[All]" dimensionUniqueName="[Actuals1_1]" displayFolder="" count="0" memberValueDatatype="5" unbalanced="0"/>
    <cacheHierarchy uniqueName="[Actuals1_1].[Name]" caption="Name" attribute="1" defaultMemberUniqueName="[Actuals1_1].[Name].[All]" allUniqueName="[Actuals1_1].[Name].[All]" dimensionUniqueName="[Actuals1_1]" displayFolder="" count="0" memberValueDatatype="130" unbalanced="0"/>
    <cacheHierarchy uniqueName="[Actuals1_1].[Type]" caption="Type" attribute="1" defaultMemberUniqueName="[Actuals1_1].[Type].[All]" allUniqueName="[Actuals1_1].[Type].[All]" dimensionUniqueName="[Actuals1_1]" displayFolder="" count="0" memberValueDatatype="130" unbalanced="0"/>
    <cacheHierarchy uniqueName="[Actuals1_1].[Type1]" caption="Type1" attribute="1" defaultMemberUniqueName="[Actuals1_1].[Type1].[All]" allUniqueName="[Actuals1_1].[Type1].[All]" dimensionUniqueName="[Actuals1_1]" displayFolder="" count="0" memberValueDatatype="130" unbalanced="0"/>
    <cacheHierarchy uniqueName="[Actuals1_1].[Period]" caption="Period" attribute="1" time="1" defaultMemberUniqueName="[Actuals1_1].[Period].[All]" allUniqueName="[Actuals1_1].[Period].[All]" dimensionUniqueName="[Actuals1_1]" displayFolder="" count="0" memberValueDatatype="7" unbalanced="0"/>
    <cacheHierarchy uniqueName="[Actuals1_1].[Value]" caption="Value" attribute="1" defaultMemberUniqueName="[Actuals1_1].[Value].[All]" allUniqueName="[Actuals1_1].[Value].[All]" dimensionUniqueName="[Actuals1_1]" displayFolder="" count="0" memberValueDatatype="5" unbalanced="0"/>
    <cacheHierarchy uniqueName="[Actuals1_1].[Key]" caption="Key" attribute="1" defaultMemberUniqueName="[Actuals1_1].[Key].[All]" allUniqueName="[Actuals1_1].[Key].[All]" dimensionUniqueName="[Actuals1_1]" displayFolder="" count="0" memberValueDatatype="130" unbalanced="0"/>
    <cacheHierarchy uniqueName="[Actuals1_1].[Period (rok)]" caption="Period (rok)" attribute="1" defaultMemberUniqueName="[Actuals1_1].[Period (rok)].[All]" allUniqueName="[Actuals1_1].[Period (rok)].[All]" dimensionUniqueName="[Actuals1_1]" displayFolder="" count="0" memberValueDatatype="130" unbalanced="0"/>
    <cacheHierarchy uniqueName="[Actuals1_1].[Period (kwartał)]" caption="Period (kwartał)" attribute="1" defaultMemberUniqueName="[Actuals1_1].[Period (kwartał)].[All]" allUniqueName="[Actuals1_1].[Period (kwartał)].[All]" dimensionUniqueName="[Actuals1_1]" displayFolder="" count="0" memberValueDatatype="130" unbalanced="0"/>
    <cacheHierarchy uniqueName="[Actuals1_1].[Period (miesiąc)]" caption="Period (miesiąc)" attribute="1" defaultMemberUniqueName="[Actuals1_1].[Period (miesiąc)].[All]" allUniqueName="[Actuals1_1].[Period (miesiąc)].[All]" dimensionUniqueName="[Actuals1_1]" displayFolder="" count="0" memberValueDatatype="130" unbalanced="0"/>
    <cacheHierarchy uniqueName="[Budget2_1].[Type]" caption="Type" attribute="1" defaultMemberUniqueName="[Budget2_1].[Type].[All]" allUniqueName="[Budget2_1].[Type].[All]" dimensionUniqueName="[Budget2_1]" displayFolder="" count="0" memberValueDatatype="130" unbalanced="0"/>
    <cacheHierarchy uniqueName="[Budget2_1].[Type1]" caption="Type1" attribute="1" defaultMemberUniqueName="[Budget2_1].[Type1].[All]" allUniqueName="[Budget2_1].[Type1].[All]" dimensionUniqueName="[Budget2_1]" displayFolder="" count="0" memberValueDatatype="130" unbalanced="0"/>
    <cacheHierarchy uniqueName="[Budget2_1].[Name]" caption="Name" attribute="1" defaultMemberUniqueName="[Budget2_1].[Name].[All]" allUniqueName="[Budget2_1].[Name].[All]" dimensionUniqueName="[Budget2_1]" displayFolder="" count="0" memberValueDatatype="130" unbalanced="0"/>
    <cacheHierarchy uniqueName="[Budget2_1].[Period]" caption="Period" attribute="1" time="1" defaultMemberUniqueName="[Budget2_1].[Period].[All]" allUniqueName="[Budget2_1].[Period].[All]" dimensionUniqueName="[Budget2_1]" displayFolder="" count="0" memberValueDatatype="7" unbalanced="0"/>
    <cacheHierarchy uniqueName="[Budget2_1].[Value]" caption="Value" attribute="1" defaultMemberUniqueName="[Budget2_1].[Value].[All]" allUniqueName="[Budget2_1].[Value].[All]" dimensionUniqueName="[Budget2_1]" displayFolder="" count="0" memberValueDatatype="5" unbalanced="0"/>
    <cacheHierarchy uniqueName="[Budget2_1].[Key]" caption="Key" attribute="1" defaultMemberUniqueName="[Budget2_1].[Key].[All]" allUniqueName="[Budget2_1].[Key].[All]" dimensionUniqueName="[Budget2_1]" displayFolder="" count="0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Year]" caption="Year" attribute="1" time="1" defaultMemberUniqueName="[Date].[Year].[All]" allUniqueName="[Date].[Year].[All]" dimensionUniqueName="[Date]" displayFolder="" count="2" memberValueDatatype="20" unbalanced="0">
      <fieldsUsage count="2">
        <fieldUsage x="-1"/>
        <fieldUsage x="5"/>
      </fieldsUsage>
    </cacheHierarchy>
    <cacheHierarchy uniqueName="[Date].[Month Number]" caption="Month Number" attribute="1" time="1" defaultMemberUniqueName="[Date].[Month Number].[All]" allUniqueName="[Date].[Month Number].[All]" dimensionUniqueName="[Date]" displayFolder="" count="0" memberValueDatatype="20" unbalanced="0"/>
    <cacheHierarchy uniqueName="[Date].[Hierarchia1]" caption="Hierarchia1" time="1" defaultMemberUniqueName="[Date].[Hierarchia1].[All]" allUniqueName="[Date].[Hierarchia1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ate].[Year-Month]" caption="Year-Month" attribute="1" time="1" defaultMemberUniqueName="[Date].[Year-Month].[All]" allUniqueName="[Date].[Year-Month].[All]" dimensionUniqueName="[Date]" displayFolder="" count="0" memberValueDatatype="130" unbalanced="0"/>
    <cacheHierarchy uniqueName="[Date].[Quarter]" caption="Quarter" attribute="1" time="1" defaultMemberUniqueName="[Date].[Quarter].[All]" allUniqueName="[Date].[Quarter].[All]" dimensionUniqueName="[Date]" displayFolder="" count="2" memberValueDatatype="130" unbalanced="0">
      <fieldsUsage count="2">
        <fieldUsage x="-1"/>
        <fieldUsage x="6"/>
      </fieldsUsage>
    </cacheHierarchy>
    <cacheHierarchy uniqueName="[Date].[Day]" caption="Day" attribute="1" time="1" defaultMemberUniqueName="[Date].[Day].[All]" allUniqueName="[Date].[Day].[All]" dimensionUniqueName="[Date]" displayFolder="" count="0" memberValueDatatype="20" unbalanced="0"/>
    <cacheHierarchy uniqueName="[Date].[Month short]" caption="Month short" attribute="1" time="1" defaultMemberUniqueName="[Date].[Month short].[All]" allUniqueName="[Date].[Month short].[All]" dimensionUniqueName="[Date]" displayFolder="" count="2" memberValueDatatype="130" unbalanced="0">
      <fieldsUsage count="2">
        <fieldUsage x="-1"/>
        <fieldUsage x="7"/>
      </fieldsUsage>
    </cacheHierarchy>
    <cacheHierarchy uniqueName="[Date].[EndOfMonthDate]" caption="EndOfMonthDate" attribute="1" time="1" defaultMemberUniqueName="[Date].[EndOfMonthDate].[All]" allUniqueName="[Date].[EndOfMonthDate].[All]" dimensionUniqueName="[Date]" displayFolder="" count="0" memberValueDatatype="7" unbalanced="0"/>
    <cacheHierarchy uniqueName="[P_L].[Account]" caption="Account" attribute="1" defaultMemberUniqueName="[P_L].[Account].[All]" allUniqueName="[P_L].[Account].[All]" dimensionUniqueName="[P_L]" displayFolder="" count="0" memberValueDatatype="5" unbalanced="0"/>
    <cacheHierarchy uniqueName="[P_L].[Type]" caption="Type" attribute="1" defaultMemberUniqueName="[P_L].[Type].[All]" allUniqueName="[P_L].[Type].[All]" dimensionUniqueName="[P_L]" displayFolder="" count="2" memberValueDatatype="130" unbalanced="0">
      <fieldsUsage count="2">
        <fieldUsage x="-1"/>
        <fieldUsage x="0"/>
      </fieldsUsage>
    </cacheHierarchy>
    <cacheHierarchy uniqueName="[P_L].[Type1]" caption="Type1" attribute="1" defaultMemberUniqueName="[P_L].[Type1].[All]" allUniqueName="[P_L].[Type1].[All]" dimensionUniqueName="[P_L]" displayFolder="" count="2" memberValueDatatype="130" unbalanced="0">
      <fieldsUsage count="2">
        <fieldUsage x="-1"/>
        <fieldUsage x="1"/>
      </fieldsUsage>
    </cacheHierarchy>
    <cacheHierarchy uniqueName="[P_L].[Name]" caption="Name" attribute="1" defaultMemberUniqueName="[P_L].[Name].[All]" allUniqueName="[P_L].[Name].[All]" dimensionUniqueName="[P_L]" displayFolder="" count="2" memberValueDatatype="130" unbalanced="0">
      <fieldsUsage count="2">
        <fieldUsage x="-1"/>
        <fieldUsage x="2"/>
      </fieldsUsage>
    </cacheHierarchy>
    <cacheHierarchy uniqueName="[P_L].[Key]" caption="Key" attribute="1" defaultMemberUniqueName="[P_L].[Key].[All]" allUniqueName="[P_L].[Key].[All]" dimensionUniqueName="[P_L]" displayFolder="" count="0" memberValueDatatype="130" unbalanced="0"/>
    <cacheHierarchy uniqueName="[Actuals1_1].[Period (indeks miesiąca)]" caption="Period (indeks miesiąca)" attribute="1" defaultMemberUniqueName="[Actuals1_1].[Period (indeks miesiąca)].[All]" allUniqueName="[Actuals1_1].[Period (indeks miesiąca)].[All]" dimensionUniqueName="[Actuals1_1]" displayFolder="" count="0" memberValueDatatype="20" unbalanced="0" hidden="1"/>
    <cacheHierarchy uniqueName="[Measures].[Suma Value]" caption="Suma Value" measure="1" displayFolder="" measureGroup="Actuals1_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Value 2]" caption="Suma Value 2" measure="1" displayFolder="" measureGroup="Budget2_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M %]" caption="MoM %" measure="1" displayFolder="" measureGroup="Actuals1_1" count="0"/>
    <cacheHierarchy uniqueName="[Measures].[Actuals]" caption="Actuals" measure="1" displayFolder="" measureGroup="Actuals1_1" count="0" oneField="1">
      <fieldsUsage count="1">
        <fieldUsage x="3"/>
      </fieldsUsage>
    </cacheHierarchy>
    <cacheHierarchy uniqueName="[Measures].[YoY %]" caption="YoY %" measure="1" displayFolder="" measureGroup="Actuals1_1" count="0"/>
    <cacheHierarchy uniqueName="[Measures].[Actuals MTD]" caption="Actuals MTD" measure="1" displayFolder="" measureGroup="Actuals1_1" count="0"/>
    <cacheHierarchy uniqueName="[Measures].[Actuals PY]" caption="Actuals PY" measure="1" displayFolder="" measureGroup="Actuals1_1" count="0" oneField="1">
      <fieldsUsage count="1">
        <fieldUsage x="8"/>
      </fieldsUsage>
    </cacheHierarchy>
    <cacheHierarchy uniqueName="[Measures].[Budget]" caption="Budget" measure="1" displayFolder="" measureGroup="Budget2_1" count="0" oneField="1">
      <fieldsUsage count="1">
        <fieldUsage x="4"/>
      </fieldsUsage>
    </cacheHierarchy>
    <cacheHierarchy uniqueName="[Measures].[Variance to Budget %]" caption="Variance to Budget %" measure="1" displayFolder="" measureGroup="Actuals1_1" count="0"/>
    <cacheHierarchy uniqueName="[Measures].[COGS PY]" caption="COGS PY" measure="1" displayFolder="" measureGroup="Actuals1_1" count="0"/>
    <cacheHierarchy uniqueName="[Measures].[COGS/COGS PY %]" caption="COGS/COGS PY %" measure="1" displayFolder="" measureGroup="Actuals1_1" count="0"/>
    <cacheHierarchy uniqueName="[Measures].[COGS Budget]" caption="COGS Budget" measure="1" displayFolder="" measureGroup="Budget2_1" count="0"/>
    <cacheHierarchy uniqueName="[Measures].[COGS/Budget %]" caption="COGS/Budget %" measure="1" displayFolder="" measureGroup="Actuals1_1" count="0"/>
    <cacheHierarchy uniqueName="[Measures].[Gross Profit Margin PY]" caption="Gross Profit Margin PY" measure="1" displayFolder="" measureGroup="Actuals1_1" count="0"/>
    <cacheHierarchy uniqueName="[Measures].[Gross Profit Margin Budget]" caption="Gross Profit Margin Budget" measure="1" displayFolder="" measureGroup="Actuals1_1" count="0"/>
    <cacheHierarchy uniqueName="[Measures].[Gross Profit Margin/Gross Profit Margin PY %]" caption="Gross Profit Margin/Gross Profit Margin PY %" measure="1" displayFolder="" measureGroup="Actuals1_1" count="0"/>
    <cacheHierarchy uniqueName="[Measures].[Gross Profit Margin/Gross Profit Margin Budget %]" caption="Gross Profit Margin/Gross Profit Margin Budget %" measure="1" displayFolder="" measureGroup="Actuals1_1" count="0"/>
    <cacheHierarchy uniqueName="[Measures].[EBITDA Margin PY]" caption="EBITDA Margin PY" measure="1" displayFolder="" measureGroup="Actuals1_1" count="0"/>
    <cacheHierarchy uniqueName="[Measures].[EBITDA Margin Budget]" caption="EBITDA Margin Budget" measure="1" displayFolder="" measureGroup="Actuals1_1" count="0"/>
    <cacheHierarchy uniqueName="[Measures].[EBITDA Margin / EBITDA Margin PY]" caption="EBITDA Margin / EBITDA Margin PY" measure="1" displayFolder="" measureGroup="Actuals1_1" count="0"/>
    <cacheHierarchy uniqueName="[Measures].[EBITDA Margin/EBITDA Margin Budget]" caption="EBITDA Margin/EBITDA Margin Budget" measure="1" displayFolder="" measureGroup="Actuals1_1" count="0"/>
    <cacheHierarchy uniqueName="[Measures].[COGS to Revenue PY]" caption="COGS to Revenue PY" measure="1" displayFolder="" measureGroup="Actuals1_1" count="0"/>
    <cacheHierarchy uniqueName="[Measures].[COGS to Revenue Budget]" caption="COGS to Revenue Budget" measure="1" displayFolder="" measureGroup="Actuals1_1" count="0"/>
    <cacheHierarchy uniqueName="[Measures].[COGS to Revenue / COGS to Revenue PY]" caption="COGS to Revenue / COGS to Revenue PY" measure="1" displayFolder="" measureGroup="Actuals1_1" count="0"/>
    <cacheHierarchy uniqueName="[Measures].[COGS to Revenue / COGS to Revenue Budget]" caption="COGS to Revenue / COGS to Revenue Budget" measure="1" displayFolder="" measureGroup="Actuals1_1" count="0"/>
    <cacheHierarchy uniqueName="[Measures].[COGS]" caption="COGS" measure="1" displayFolder="" measureGroup="Actuals1_1" count="0"/>
    <cacheHierarchy uniqueName="[Measures].[COGS1]" caption="COGS1" measure="1" displayFolder="" measureGroup="Actuals1_1" count="0"/>
    <cacheHierarchy uniqueName="[Measures].[Gross Profit Margin]" caption="Gross Profit Margin" measure="1" displayFolder="" measureGroup="Actuals1_1" count="0"/>
    <cacheHierarchy uniqueName="[Measures].[Gross Profit Margin 1]" caption="Gross Profit Margin 1" measure="1" displayFolder="" measureGroup="Actuals1_1" count="0"/>
    <cacheHierarchy uniqueName="[Measures].[EBITDA Margin]" caption="EBITDA Margin" measure="1" displayFolder="" measureGroup="Actuals1_1" count="0"/>
    <cacheHierarchy uniqueName="[Measures].[EBITDA Margin 1]" caption="EBITDA Margin 1" measure="1" displayFolder="" measureGroup="Actuals1_1" count="0"/>
    <cacheHierarchy uniqueName="[Measures].[COGS to Revenue]" caption="COGS to Revenue" measure="1" displayFolder="" measureGroup="Actuals1_1" count="0"/>
    <cacheHierarchy uniqueName="[Measures].[COGS to Revenue 1]" caption="COGS to Revenue 1" measure="1" displayFolder="" measureGroup="Actuals1_1" count="0"/>
    <cacheHierarchy uniqueName="[Measures].[__XL_Count Actuals1_1]" caption="__XL_Count Actuals1_1" measure="1" displayFolder="" measureGroup="Actuals1_1" count="0" hidden="1"/>
    <cacheHierarchy uniqueName="[Measures].[__XL_Count P_L]" caption="__XL_Count P_L" measure="1" displayFolder="" measureGroup="P_L" count="0" hidden="1"/>
    <cacheHierarchy uniqueName="[Measures].[__XL_Count Date]" caption="__XL_Count Date" measure="1" displayFolder="" measureGroup="Date" count="0" hidden="1"/>
    <cacheHierarchy uniqueName="[Measures].[__XL_Count Budget2_1]" caption="__XL_Count Budget2_1" measure="1" displayFolder="" measureGroup="Budget2_1" count="0" hidden="1"/>
    <cacheHierarchy uniqueName="[Measures].[__Nie zdefiniowano żadnych miar]" caption="__Nie zdefiniowano żadnych miar" measure="1" displayFolder="" count="0" hidden="1"/>
    <cacheHierarchy uniqueName="[Measures].[_COGS Goal]" caption="_COGS Goal" measure="1" displayFolder="" measureGroup="Actuals1_1" count="0" hidden="1"/>
    <cacheHierarchy uniqueName="[Measures].[_COGS Status]" caption="_COGS Status" measure="1" iconSet="11" displayFolder="" measureGroup="Actuals1_1" count="0" hidden="1"/>
    <cacheHierarchy uniqueName="[Measures].[_COGS1 Goal]" caption="_COGS1 Goal" measure="1" displayFolder="" measureGroup="Actuals1_1" count="0" hidden="1"/>
    <cacheHierarchy uniqueName="[Measures].[_COGS1 Status]" caption="_COGS1 Status" measure="1" iconSet="11" displayFolder="" measureGroup="Actuals1_1" count="0" hidden="1"/>
    <cacheHierarchy uniqueName="[Measures].[_Gross Profit Margin Goal]" caption="_Gross Profit Margin Goal" measure="1" displayFolder="" measureGroup="Actuals1_1" count="0" hidden="1"/>
    <cacheHierarchy uniqueName="[Measures].[_Gross Profit Margin Status]" caption="_Gross Profit Margin Status" measure="1" iconSet="11" displayFolder="" measureGroup="Actuals1_1" count="0" hidden="1"/>
    <cacheHierarchy uniqueName="[Measures].[_Gross Profit Margin 1 Goal]" caption="_Gross Profit Margin 1 Goal" measure="1" displayFolder="" measureGroup="Actuals1_1" count="0" hidden="1"/>
    <cacheHierarchy uniqueName="[Measures].[_Gross Profit Margin 1 Status]" caption="_Gross Profit Margin 1 Status" measure="1" iconSet="11" displayFolder="" measureGroup="Actuals1_1" count="0" hidden="1"/>
    <cacheHierarchy uniqueName="[Measures].[_EBITDA Margin Goal]" caption="_EBITDA Margin Goal" measure="1" displayFolder="" measureGroup="Actuals1_1" count="0" hidden="1"/>
    <cacheHierarchy uniqueName="[Measures].[_EBITDA Margin Status]" caption="_EBITDA Margin Status" measure="1" iconSet="11" displayFolder="" measureGroup="Actuals1_1" count="0" hidden="1"/>
    <cacheHierarchy uniqueName="[Measures].[_EBITDA Margin 1 Goal]" caption="_EBITDA Margin 1 Goal" measure="1" displayFolder="" measureGroup="Actuals1_1" count="0" hidden="1"/>
    <cacheHierarchy uniqueName="[Measures].[_EBITDA Margin 1 Status]" caption="_EBITDA Margin 1 Status" measure="1" iconSet="11" displayFolder="" measureGroup="Actuals1_1" count="0" hidden="1"/>
    <cacheHierarchy uniqueName="[Measures].[_COGS to Revenue Goal]" caption="_COGS to Revenue Goal" measure="1" displayFolder="" measureGroup="Actuals1_1" count="0" hidden="1"/>
    <cacheHierarchy uniqueName="[Measures].[_COGS to Revenue Status]" caption="_COGS to Revenue Status" measure="1" iconSet="11" displayFolder="" measureGroup="Actuals1_1" count="0" hidden="1"/>
    <cacheHierarchy uniqueName="[Measures].[_COGS to Revenue 1 Goal]" caption="_COGS to Revenue 1 Goal" measure="1" displayFolder="" measureGroup="Actuals1_1" count="0" hidden="1"/>
    <cacheHierarchy uniqueName="[Measures].[_COGS to Revenue 1 Status]" caption="_COGS to Revenue 1 Status" measure="1" iconSet="11" displayFolder="" measureGroup="Actuals1_1" count="0" hidden="1"/>
  </cacheHierarchies>
  <kpis count="8">
    <kpi uniqueName="COGS" caption="COGS" displayFolder="" measureGroup="Actuals1_1" parent="" value="[Measures].[COGS]" goal="[Measures].[_COGS Goal]" status="[Measures].[_COGS Status]" trend="" weight=""/>
    <kpi uniqueName="COGS1" caption="COGS1" displayFolder="" measureGroup="Actuals1_1" parent="" value="[Measures].[COGS1]" goal="[Measures].[_COGS1 Goal]" status="[Measures].[_COGS1 Status]" trend="" weight=""/>
    <kpi uniqueName="Gross Profit Margin" caption="Gross Profit Margin" displayFolder="" measureGroup="Actuals1_1" parent="" value="[Measures].[Gross Profit Margin]" goal="[Measures].[_Gross Profit Margin Goal]" status="[Measures].[_Gross Profit Margin Status]" trend="" weight=""/>
    <kpi uniqueName="Gross Profit Margin 1" caption="Gross Profit Margin 1" displayFolder="" measureGroup="Actuals1_1" parent="" value="[Measures].[Gross Profit Margin 1]" goal="[Measures].[_Gross Profit Margin 1 Goal]" status="[Measures].[_Gross Profit Margin 1 Status]" trend="" weight=""/>
    <kpi uniqueName="EBITDA Margin" caption="EBITDA Margin" displayFolder="" measureGroup="Actuals1_1" parent="" value="[Measures].[EBITDA Margin]" goal="[Measures].[_EBITDA Margin Goal]" status="[Measures].[_EBITDA Margin Status]" trend="" weight=""/>
    <kpi uniqueName="EBITDA Margin 1" caption="EBITDA Margin 1" displayFolder="" measureGroup="Actuals1_1" parent="" value="[Measures].[EBITDA Margin 1]" goal="[Measures].[_EBITDA Margin 1 Goal]" status="[Measures].[_EBITDA Margin 1 Status]" trend="" weight=""/>
    <kpi uniqueName="COGS to Revenue" caption="COGS to Revenue" displayFolder="" measureGroup="Actuals1_1" parent="" value="[Measures].[COGS to Revenue]" goal="[Measures].[_COGS to Revenue Goal]" status="[Measures].[_COGS to Revenue Status]" trend="" weight=""/>
    <kpi uniqueName="COGS to Revenue 1" caption="COGS to Revenue 1" displayFolder="" measureGroup="Actuals1_1" parent="" value="[Measures].[COGS to Revenue 1]" goal="[Measures].[_COGS to Revenue 1 Goal]" status="[Measures].[_COGS to Revenue 1 Status]" trend="" weight=""/>
  </kpis>
  <dimensions count="5">
    <dimension name="Actuals1_1" uniqueName="[Actuals1_1]" caption="Actuals1_1"/>
    <dimension name="Budget2_1" uniqueName="[Budget2_1]" caption="Budget2_1"/>
    <dimension name="Date" uniqueName="[Date]" caption="Date"/>
    <dimension measure="1" name="Measures" uniqueName="[Measures]" caption="Measures"/>
    <dimension name="P_L" uniqueName="[P_L]" caption="P_L"/>
  </dimensions>
  <measureGroups count="4">
    <measureGroup name="Actuals1_1" caption="Actuals1_1"/>
    <measureGroup name="Budget2_1" caption="Budget2_1"/>
    <measureGroup name="Date" caption="Date"/>
    <measureGroup name="P_L" caption="P_L"/>
  </measureGroups>
  <maps count="8">
    <map measureGroup="0" dimension="0"/>
    <map measureGroup="0" dimension="2"/>
    <map measureGroup="0" dimension="4"/>
    <map measureGroup="1" dimension="1"/>
    <map measureGroup="1" dimension="2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 Kowalczyk" refreshedDate="46111.869189120371" backgroundQuery="1" createdVersion="8" refreshedVersion="8" minRefreshableVersion="3" recordCount="0" supportSubquery="1" supportAdvancedDrill="1" xr:uid="{E2EF417F-2E71-4170-B7E2-432F94587402}">
  <cacheSource type="external" connectionId="1"/>
  <cacheFields count="12">
    <cacheField name="[P_L].[Type].[Type]" caption="Type" numFmtId="0" hierarchy="27" level="1">
      <sharedItems count="7">
        <s v="B. COGS"/>
        <s v="F. OPEX" u="1"/>
        <s v="E. Contribution Profit" u="1"/>
        <s v="D. Variable Costs" u="1"/>
        <s v="A. Revenue" u="1"/>
        <s v="G. EBITDA" u="1"/>
        <s v="C. Gross Profit" u="1"/>
      </sharedItems>
      <extLst>
        <ext xmlns:x15="http://schemas.microsoft.com/office/spreadsheetml/2010/11/main" uri="{4F2E5C28-24EA-4eb8-9CBF-B6C8F9C3D259}">
          <x15:cachedUniqueNames>
            <x15:cachedUniqueName index="2" name="[P_L].[Type].&amp;[E. Contribution Profit]"/>
            <x15:cachedUniqueName index="3" name="[P_L].[Type].&amp;[D. Variable Costs]"/>
            <x15:cachedUniqueName index="4" name="[P_L].[Type].&amp;[A. Revenue]"/>
            <x15:cachedUniqueName index="5" name="[P_L].[Type].&amp;[G. EBITDA]"/>
          </x15:cachedUniqueNames>
        </ext>
      </extLst>
    </cacheField>
    <cacheField name="[P_L].[Type1].[Type1]" caption="Type1" numFmtId="0" hierarchy="28" level="1">
      <sharedItems containsBlank="1" count="10">
        <s v="Consulting"/>
        <s v="Insurances"/>
        <s v="Labour"/>
        <s v="Marketing"/>
        <s v="Rent"/>
        <s v="Travel"/>
        <m u="1"/>
        <s v="Distribution" u="1"/>
        <s v="Payment" u="1"/>
        <s v="Warehouse" u="1"/>
      </sharedItems>
      <extLst>
        <ext xmlns:x15="http://schemas.microsoft.com/office/spreadsheetml/2010/11/main" uri="{4F2E5C28-24EA-4eb8-9CBF-B6C8F9C3D259}">
          <x15:cachedUniqueNames>
            <x15:cachedUniqueName index="6" name="[P_L].[Type1].&amp;"/>
            <x15:cachedUniqueName index="7" name="[P_L].[Type1].&amp;[Distribution]"/>
            <x15:cachedUniqueName index="8" name="[P_L].[Type1].&amp;[Payment]"/>
            <x15:cachedUniqueName index="9" name="[P_L].[Type1].&amp;[Warehouse]"/>
          </x15:cachedUniqueNames>
        </ext>
      </extLst>
    </cacheField>
    <cacheField name="[P_L].[Name].[Name]" caption="Name" numFmtId="0" hierarchy="29" level="1">
      <sharedItems containsBlank="1" count="28">
        <s v="Marketing (Flyers)"/>
        <s v="Marketing (Google)"/>
        <s v="Marketing (Meta)"/>
        <s v="Marketing (Print)"/>
        <s v="Marketing (TV)"/>
        <s v="Rent"/>
        <s v="Labour (Bonuses)" u="1"/>
        <s v="Labour (Salaries)" u="1"/>
        <s v="Labour (Social Contributions)" u="1"/>
        <s v="Travel" u="1"/>
        <s v="Insurance (Cyber Security)" u="1"/>
        <s v="Insurance (Legal Protection)" u="1"/>
        <s v="Insurance (Others)" u="1"/>
        <s v="Consulting (BCG, KPMG, etc.)" u="1"/>
        <s v="Consulting (for different IT-Tools)" u="1"/>
        <m u="1"/>
        <s v="COGS (DE)" u="1"/>
        <s v="COGS (NL)" u="1"/>
        <s v="COGS (Others)" u="1"/>
        <s v="COGS (PL)" u="1"/>
        <s v="Revenue (DE)" u="1"/>
        <s v="Revenue (NL)" u="1"/>
        <s v="Revenue (PL)" u="1"/>
        <s v="Distribution (Different Carriers)" u="1"/>
        <s v="Distribution (Package Material)" u="1"/>
        <s v="Payment (Credit Card)" u="1"/>
        <s v="Payment (PayPal)" u="1"/>
        <s v="Warehouse" u="1"/>
      </sharedItems>
      <extLst>
        <ext xmlns:x15="http://schemas.microsoft.com/office/spreadsheetml/2010/11/main" uri="{4F2E5C28-24EA-4eb8-9CBF-B6C8F9C3D259}">
          <x15:cachedUniqueNames>
            <x15:cachedUniqueName index="0" name="[P_L].[Name].&amp;[Marketing (Flyers)]"/>
            <x15:cachedUniqueName index="1" name="[P_L].[Name].&amp;[Marketing (Google)]"/>
            <x15:cachedUniqueName index="2" name="[P_L].[Name].&amp;[Marketing (Meta)]"/>
            <x15:cachedUniqueName index="3" name="[P_L].[Name].&amp;[Marketing (Print)]"/>
            <x15:cachedUniqueName index="4" name="[P_L].[Name].&amp;[Marketing (TV)]"/>
            <x15:cachedUniqueName index="5" name="[P_L].[Name].&amp;[Rent]"/>
            <x15:cachedUniqueName index="6" name="[P_L].[Name].&amp;[Labour (Bonuses)]"/>
            <x15:cachedUniqueName index="7" name="[P_L].[Name].&amp;[Labour (Salaries)]"/>
            <x15:cachedUniqueName index="8" name="[P_L].[Name].&amp;[Labour (Social Contributions)]"/>
            <x15:cachedUniqueName index="9" name="[P_L].[Name].&amp;[Travel]"/>
            <x15:cachedUniqueName index="10" name="[P_L].[Name].&amp;[Insurance (Cyber Security)]"/>
            <x15:cachedUniqueName index="11" name="[P_L].[Name].&amp;[Insurance (Legal Protection)]"/>
            <x15:cachedUniqueName index="12" name="[P_L].[Name].&amp;[Insurance (Others)]"/>
            <x15:cachedUniqueName index="13" name="[P_L].[Name].&amp;[Consulting (BCG, KPMG, etc.)]"/>
            <x15:cachedUniqueName index="14" name="[P_L].[Name].&amp;[Consulting (for different IT-Tools)]"/>
            <x15:cachedUniqueName index="15" name="[P_L].[Name].&amp;"/>
            <x15:cachedUniqueName index="16" name="[P_L].[Name].&amp;[COGS (DE)]"/>
            <x15:cachedUniqueName index="17" name="[P_L].[Name].&amp;[COGS (NL)]"/>
            <x15:cachedUniqueName index="18" name="[P_L].[Name].&amp;[COGS (Others)]"/>
            <x15:cachedUniqueName index="19" name="[P_L].[Name].&amp;[COGS (PL)]"/>
            <x15:cachedUniqueName index="20" name="[P_L].[Name].&amp;[Revenue (DE)]"/>
            <x15:cachedUniqueName index="21" name="[P_L].[Name].&amp;[Revenue (NL)]"/>
            <x15:cachedUniqueName index="22" name="[P_L].[Name].&amp;[Revenue (PL)]"/>
            <x15:cachedUniqueName index="23" name="[P_L].[Name].&amp;[Distribution (Different Carriers)]"/>
            <x15:cachedUniqueName index="24" name="[P_L].[Name].&amp;[Distribution (Package Material)]"/>
            <x15:cachedUniqueName index="25" name="[P_L].[Name].&amp;[Payment (Credit Card)]"/>
            <x15:cachedUniqueName index="26" name="[P_L].[Name].&amp;[Payment (PayPal)]"/>
            <x15:cachedUniqueName index="27" name="[P_L].[Name].&amp;[Warehouse]"/>
          </x15:cachedUniqueNames>
        </ext>
      </extLst>
    </cacheField>
    <cacheField name="[Measures].[Actuals]" caption="Actuals" numFmtId="0" hierarchy="35" level="32767"/>
    <cacheField name="[Actuals1_1].[Type].[Type]" caption="Type" numFmtId="0" hierarchy="2" level="1">
      <sharedItems containsSemiMixedTypes="0" containsNonDate="0" containsString="0"/>
    </cacheField>
    <cacheField name="[Measures].[Actuals PY]" caption="Actuals PY" numFmtId="0" hierarchy="38" level="32767"/>
    <cacheField name="[Measures].[Budget]" caption="Budget" numFmtId="0" hierarchy="39" level="32767"/>
    <cacheField name="[Date].[Year].[Year]" caption="Year" numFmtId="0" hierarchy="17" level="1">
      <sharedItems containsSemiMixedTypes="0" containsString="0" containsNumber="1" containsInteger="1" minValue="2025" maxValue="2025" count="1">
        <n v="2025"/>
      </sharedItems>
      <extLst>
        <ext xmlns:x15="http://schemas.microsoft.com/office/spreadsheetml/2010/11/main" uri="{4F2E5C28-24EA-4eb8-9CBF-B6C8F9C3D259}">
          <x15:cachedUniqueNames>
            <x15:cachedUniqueName index="0" name="[Date].[Year].&amp;[2025]"/>
          </x15:cachedUniqueNames>
        </ext>
      </extLst>
    </cacheField>
    <cacheField name="[Date].[Quarter].[Quarter]" caption="Quarter" numFmtId="0" hierarchy="22" level="1">
      <sharedItems count="2">
        <s v="Q1"/>
        <s v="Q2"/>
      </sharedItems>
    </cacheField>
    <cacheField name="[Date].[Month short].[Month short]" caption="Month short" numFmtId="0" hierarchy="24" level="1">
      <sharedItems count="6">
        <s v="Jan"/>
        <s v="Feb"/>
        <s v="Mar"/>
        <s v="Apr"/>
        <s v="May"/>
        <s v="Jun"/>
      </sharedItems>
    </cacheField>
    <cacheField name="[Date].[Year-Month].[Year-Month]" caption="Year-Month" numFmtId="0" hierarchy="21" level="1">
      <sharedItems containsSemiMixedTypes="0" containsNonDate="0" containsString="0"/>
    </cacheField>
    <cacheField name="[Date].[Date].[Date]" caption="Date" numFmtId="0" hierarchy="16" level="1">
      <sharedItems containsSemiMixedTypes="0" containsNonDate="0" containsString="0"/>
    </cacheField>
  </cacheFields>
  <cacheHierarchies count="86">
    <cacheHierarchy uniqueName="[Actuals1_1].[Account]" caption="Account" attribute="1" defaultMemberUniqueName="[Actuals1_1].[Account].[All]" allUniqueName="[Actuals1_1].[Account].[All]" dimensionUniqueName="[Actuals1_1]" displayFolder="" count="0" memberValueDatatype="5" unbalanced="0"/>
    <cacheHierarchy uniqueName="[Actuals1_1].[Name]" caption="Name" attribute="1" defaultMemberUniqueName="[Actuals1_1].[Name].[All]" allUniqueName="[Actuals1_1].[Name].[All]" dimensionUniqueName="[Actuals1_1]" displayFolder="" count="0" memberValueDatatype="130" unbalanced="0"/>
    <cacheHierarchy uniqueName="[Actuals1_1].[Type]" caption="Type" attribute="1" defaultMemberUniqueName="[Actuals1_1].[Type].[All]" allUniqueName="[Actuals1_1].[Type].[All]" dimensionUniqueName="[Actuals1_1]" displayFolder="" count="2" memberValueDatatype="130" unbalanced="0">
      <fieldsUsage count="2">
        <fieldUsage x="-1"/>
        <fieldUsage x="4"/>
      </fieldsUsage>
    </cacheHierarchy>
    <cacheHierarchy uniqueName="[Actuals1_1].[Type1]" caption="Type1" attribute="1" defaultMemberUniqueName="[Actuals1_1].[Type1].[All]" allUniqueName="[Actuals1_1].[Type1].[All]" dimensionUniqueName="[Actuals1_1]" displayFolder="" count="0" memberValueDatatype="130" unbalanced="0"/>
    <cacheHierarchy uniqueName="[Actuals1_1].[Period]" caption="Period" attribute="1" time="1" defaultMemberUniqueName="[Actuals1_1].[Period].[All]" allUniqueName="[Actuals1_1].[Period].[All]" dimensionUniqueName="[Actuals1_1]" displayFolder="" count="0" memberValueDatatype="7" unbalanced="0"/>
    <cacheHierarchy uniqueName="[Actuals1_1].[Value]" caption="Value" attribute="1" defaultMemberUniqueName="[Actuals1_1].[Value].[All]" allUniqueName="[Actuals1_1].[Value].[All]" dimensionUniqueName="[Actuals1_1]" displayFolder="" count="0" memberValueDatatype="5" unbalanced="0"/>
    <cacheHierarchy uniqueName="[Actuals1_1].[Key]" caption="Key" attribute="1" defaultMemberUniqueName="[Actuals1_1].[Key].[All]" allUniqueName="[Actuals1_1].[Key].[All]" dimensionUniqueName="[Actuals1_1]" displayFolder="" count="0" memberValueDatatype="130" unbalanced="0"/>
    <cacheHierarchy uniqueName="[Actuals1_1].[Period (rok)]" caption="Period (rok)" attribute="1" defaultMemberUniqueName="[Actuals1_1].[Period (rok)].[All]" allUniqueName="[Actuals1_1].[Period (rok)].[All]" dimensionUniqueName="[Actuals1_1]" displayFolder="" count="0" memberValueDatatype="130" unbalanced="0"/>
    <cacheHierarchy uniqueName="[Actuals1_1].[Period (kwartał)]" caption="Period (kwartał)" attribute="1" defaultMemberUniqueName="[Actuals1_1].[Period (kwartał)].[All]" allUniqueName="[Actuals1_1].[Period (kwartał)].[All]" dimensionUniqueName="[Actuals1_1]" displayFolder="" count="0" memberValueDatatype="130" unbalanced="0"/>
    <cacheHierarchy uniqueName="[Actuals1_1].[Period (miesiąc)]" caption="Period (miesiąc)" attribute="1" defaultMemberUniqueName="[Actuals1_1].[Period (miesiąc)].[All]" allUniqueName="[Actuals1_1].[Period (miesiąc)].[All]" dimensionUniqueName="[Actuals1_1]" displayFolder="" count="0" memberValueDatatype="130" unbalanced="0"/>
    <cacheHierarchy uniqueName="[Budget2_1].[Type]" caption="Type" attribute="1" defaultMemberUniqueName="[Budget2_1].[Type].[All]" allUniqueName="[Budget2_1].[Type].[All]" dimensionUniqueName="[Budget2_1]" displayFolder="" count="0" memberValueDatatype="130" unbalanced="0"/>
    <cacheHierarchy uniqueName="[Budget2_1].[Type1]" caption="Type1" attribute="1" defaultMemberUniqueName="[Budget2_1].[Type1].[All]" allUniqueName="[Budget2_1].[Type1].[All]" dimensionUniqueName="[Budget2_1]" displayFolder="" count="0" memberValueDatatype="130" unbalanced="0"/>
    <cacheHierarchy uniqueName="[Budget2_1].[Name]" caption="Name" attribute="1" defaultMemberUniqueName="[Budget2_1].[Name].[All]" allUniqueName="[Budget2_1].[Name].[All]" dimensionUniqueName="[Budget2_1]" displayFolder="" count="0" memberValueDatatype="130" unbalanced="0"/>
    <cacheHierarchy uniqueName="[Budget2_1].[Period]" caption="Period" attribute="1" time="1" defaultMemberUniqueName="[Budget2_1].[Period].[All]" allUniqueName="[Budget2_1].[Period].[All]" dimensionUniqueName="[Budget2_1]" displayFolder="" count="0" memberValueDatatype="7" unbalanced="0"/>
    <cacheHierarchy uniqueName="[Budget2_1].[Value]" caption="Value" attribute="1" defaultMemberUniqueName="[Budget2_1].[Value].[All]" allUniqueName="[Budget2_1].[Value].[All]" dimensionUniqueName="[Budget2_1]" displayFolder="" count="0" memberValueDatatype="5" unbalanced="0"/>
    <cacheHierarchy uniqueName="[Budget2_1].[Key]" caption="Key" attribute="1" defaultMemberUniqueName="[Budget2_1].[Key].[All]" allUniqueName="[Budget2_1].[Key].[All]" dimensionUniqueName="[Budget2_1]" displayFolder="" count="0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2" memberValueDatatype="7" unbalanced="0">
      <fieldsUsage count="2">
        <fieldUsage x="-1"/>
        <fieldUsage x="11"/>
      </fieldsUsage>
    </cacheHierarchy>
    <cacheHierarchy uniqueName="[Date].[Year]" caption="Year" attribute="1" time="1" defaultMemberUniqueName="[Date].[Year].[All]" allUniqueName="[Date].[Year].[All]" dimensionUniqueName="[Date]" displayFolder="" count="2" memberValueDatatype="20" unbalanced="0">
      <fieldsUsage count="2">
        <fieldUsage x="-1"/>
        <fieldUsage x="7"/>
      </fieldsUsage>
    </cacheHierarchy>
    <cacheHierarchy uniqueName="[Date].[Month Number]" caption="Month Number" attribute="1" time="1" defaultMemberUniqueName="[Date].[Month Number].[All]" allUniqueName="[Date].[Month Number].[All]" dimensionUniqueName="[Date]" displayFolder="" count="0" memberValueDatatype="20" unbalanced="0"/>
    <cacheHierarchy uniqueName="[Date].[Hierarchia1]" caption="Hierarchia1" time="1" defaultMemberUniqueName="[Date].[Hierarchia1].[All]" allUniqueName="[Date].[Hierarchia1].[All]" dimensionUniqueName="[Date]" displayFolder="" count="4" unbalanced="0"/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ate].[Year-Month]" caption="Year-Month" attribute="1" time="1" defaultMemberUniqueName="[Date].[Year-Month].[All]" allUniqueName="[Date].[Year-Month].[All]" dimensionUniqueName="[Date]" displayFolder="" count="2" memberValueDatatype="130" unbalanced="0">
      <fieldsUsage count="2">
        <fieldUsage x="-1"/>
        <fieldUsage x="10"/>
      </fieldsUsage>
    </cacheHierarchy>
    <cacheHierarchy uniqueName="[Date].[Quarter]" caption="Quarter" attribute="1" time="1" defaultMemberUniqueName="[Date].[Quarter].[All]" allUniqueName="[Date].[Quarter].[All]" dimensionUniqueName="[Date]" displayFolder="" count="2" memberValueDatatype="130" unbalanced="0">
      <fieldsUsage count="2">
        <fieldUsage x="-1"/>
        <fieldUsage x="8"/>
      </fieldsUsage>
    </cacheHierarchy>
    <cacheHierarchy uniqueName="[Date].[Day]" caption="Day" attribute="1" time="1" defaultMemberUniqueName="[Date].[Day].[All]" allUniqueName="[Date].[Day].[All]" dimensionUniqueName="[Date]" displayFolder="" count="0" memberValueDatatype="20" unbalanced="0"/>
    <cacheHierarchy uniqueName="[Date].[Month short]" caption="Month short" attribute="1" time="1" defaultMemberUniqueName="[Date].[Month short].[All]" allUniqueName="[Date].[Month short].[All]" dimensionUniqueName="[Date]" displayFolder="" count="2" memberValueDatatype="130" unbalanced="0">
      <fieldsUsage count="2">
        <fieldUsage x="-1"/>
        <fieldUsage x="9"/>
      </fieldsUsage>
    </cacheHierarchy>
    <cacheHierarchy uniqueName="[Date].[EndOfMonthDate]" caption="EndOfMonthDate" attribute="1" time="1" defaultMemberUniqueName="[Date].[EndOfMonthDate].[All]" allUniqueName="[Date].[EndOfMonthDate].[All]" dimensionUniqueName="[Date]" displayFolder="" count="0" memberValueDatatype="7" unbalanced="0"/>
    <cacheHierarchy uniqueName="[P_L].[Account]" caption="Account" attribute="1" defaultMemberUniqueName="[P_L].[Account].[All]" allUniqueName="[P_L].[Account].[All]" dimensionUniqueName="[P_L]" displayFolder="" count="0" memberValueDatatype="5" unbalanced="0"/>
    <cacheHierarchy uniqueName="[P_L].[Type]" caption="Type" attribute="1" defaultMemberUniqueName="[P_L].[Type].[All]" allUniqueName="[P_L].[Type].[All]" dimensionUniqueName="[P_L]" displayFolder="" count="2" memberValueDatatype="130" unbalanced="0">
      <fieldsUsage count="2">
        <fieldUsage x="-1"/>
        <fieldUsage x="0"/>
      </fieldsUsage>
    </cacheHierarchy>
    <cacheHierarchy uniqueName="[P_L].[Type1]" caption="Type1" attribute="1" defaultMemberUniqueName="[P_L].[Type1].[All]" allUniqueName="[P_L].[Type1].[All]" dimensionUniqueName="[P_L]" displayFolder="" count="2" memberValueDatatype="130" unbalanced="0">
      <fieldsUsage count="2">
        <fieldUsage x="-1"/>
        <fieldUsage x="1"/>
      </fieldsUsage>
    </cacheHierarchy>
    <cacheHierarchy uniqueName="[P_L].[Name]" caption="Name" attribute="1" defaultMemberUniqueName="[P_L].[Name].[All]" allUniqueName="[P_L].[Name].[All]" dimensionUniqueName="[P_L]" displayFolder="" count="2" memberValueDatatype="130" unbalanced="0">
      <fieldsUsage count="2">
        <fieldUsage x="-1"/>
        <fieldUsage x="2"/>
      </fieldsUsage>
    </cacheHierarchy>
    <cacheHierarchy uniqueName="[P_L].[Key]" caption="Key" attribute="1" defaultMemberUniqueName="[P_L].[Key].[All]" allUniqueName="[P_L].[Key].[All]" dimensionUniqueName="[P_L]" displayFolder="" count="0" memberValueDatatype="130" unbalanced="0"/>
    <cacheHierarchy uniqueName="[Actuals1_1].[Period (indeks miesiąca)]" caption="Period (indeks miesiąca)" attribute="1" defaultMemberUniqueName="[Actuals1_1].[Period (indeks miesiąca)].[All]" allUniqueName="[Actuals1_1].[Period (indeks miesiąca)].[All]" dimensionUniqueName="[Actuals1_1]" displayFolder="" count="0" memberValueDatatype="20" unbalanced="0" hidden="1"/>
    <cacheHierarchy uniqueName="[Measures].[Suma Value]" caption="Suma Value" measure="1" displayFolder="" measureGroup="Actuals1_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Value 2]" caption="Suma Value 2" measure="1" displayFolder="" measureGroup="Budget2_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M %]" caption="MoM %" measure="1" displayFolder="" measureGroup="Actuals1_1" count="0"/>
    <cacheHierarchy uniqueName="[Measures].[Actuals]" caption="Actuals" measure="1" displayFolder="" measureGroup="Actuals1_1" count="0" oneField="1">
      <fieldsUsage count="1">
        <fieldUsage x="3"/>
      </fieldsUsage>
    </cacheHierarchy>
    <cacheHierarchy uniqueName="[Measures].[YoY %]" caption="YoY %" measure="1" displayFolder="" measureGroup="Actuals1_1" count="0"/>
    <cacheHierarchy uniqueName="[Measures].[Actuals MTD]" caption="Actuals MTD" measure="1" displayFolder="" measureGroup="Actuals1_1" count="0"/>
    <cacheHierarchy uniqueName="[Measures].[Actuals PY]" caption="Actuals PY" measure="1" displayFolder="" measureGroup="Actuals1_1" count="0" oneField="1">
      <fieldsUsage count="1">
        <fieldUsage x="5"/>
      </fieldsUsage>
    </cacheHierarchy>
    <cacheHierarchy uniqueName="[Measures].[Budget]" caption="Budget" measure="1" displayFolder="" measureGroup="Budget2_1" count="0" oneField="1">
      <fieldsUsage count="1">
        <fieldUsage x="6"/>
      </fieldsUsage>
    </cacheHierarchy>
    <cacheHierarchy uniqueName="[Measures].[Variance to Budget %]" caption="Variance to Budget %" measure="1" displayFolder="" measureGroup="Actuals1_1" count="0"/>
    <cacheHierarchy uniqueName="[Measures].[COGS PY]" caption="COGS PY" measure="1" displayFolder="" measureGroup="Actuals1_1" count="0"/>
    <cacheHierarchy uniqueName="[Measures].[COGS/COGS PY %]" caption="COGS/COGS PY %" measure="1" displayFolder="" measureGroup="Actuals1_1" count="0"/>
    <cacheHierarchy uniqueName="[Measures].[COGS Budget]" caption="COGS Budget" measure="1" displayFolder="" measureGroup="Budget2_1" count="0"/>
    <cacheHierarchy uniqueName="[Measures].[COGS/Budget %]" caption="COGS/Budget %" measure="1" displayFolder="" measureGroup="Actuals1_1" count="0"/>
    <cacheHierarchy uniqueName="[Measures].[Gross Profit Margin PY]" caption="Gross Profit Margin PY" measure="1" displayFolder="" measureGroup="Actuals1_1" count="0"/>
    <cacheHierarchy uniqueName="[Measures].[Gross Profit Margin Budget]" caption="Gross Profit Margin Budget" measure="1" displayFolder="" measureGroup="Actuals1_1" count="0"/>
    <cacheHierarchy uniqueName="[Measures].[Gross Profit Margin/Gross Profit Margin PY %]" caption="Gross Profit Margin/Gross Profit Margin PY %" measure="1" displayFolder="" measureGroup="Actuals1_1" count="0"/>
    <cacheHierarchy uniqueName="[Measures].[Gross Profit Margin/Gross Profit Margin Budget %]" caption="Gross Profit Margin/Gross Profit Margin Budget %" measure="1" displayFolder="" measureGroup="Actuals1_1" count="0"/>
    <cacheHierarchy uniqueName="[Measures].[EBITDA Margin PY]" caption="EBITDA Margin PY" measure="1" displayFolder="" measureGroup="Actuals1_1" count="0"/>
    <cacheHierarchy uniqueName="[Measures].[EBITDA Margin Budget]" caption="EBITDA Margin Budget" measure="1" displayFolder="" measureGroup="Actuals1_1" count="0"/>
    <cacheHierarchy uniqueName="[Measures].[EBITDA Margin / EBITDA Margin PY]" caption="EBITDA Margin / EBITDA Margin PY" measure="1" displayFolder="" measureGroup="Actuals1_1" count="0"/>
    <cacheHierarchy uniqueName="[Measures].[EBITDA Margin/EBITDA Margin Budget]" caption="EBITDA Margin/EBITDA Margin Budget" measure="1" displayFolder="" measureGroup="Actuals1_1" count="0"/>
    <cacheHierarchy uniqueName="[Measures].[COGS to Revenue PY]" caption="COGS to Revenue PY" measure="1" displayFolder="" measureGroup="Actuals1_1" count="0"/>
    <cacheHierarchy uniqueName="[Measures].[COGS to Revenue Budget]" caption="COGS to Revenue Budget" measure="1" displayFolder="" measureGroup="Actuals1_1" count="0"/>
    <cacheHierarchy uniqueName="[Measures].[COGS to Revenue / COGS to Revenue PY]" caption="COGS to Revenue / COGS to Revenue PY" measure="1" displayFolder="" measureGroup="Actuals1_1" count="0"/>
    <cacheHierarchy uniqueName="[Measures].[COGS to Revenue / COGS to Revenue Budget]" caption="COGS to Revenue / COGS to Revenue Budget" measure="1" displayFolder="" measureGroup="Actuals1_1" count="0"/>
    <cacheHierarchy uniqueName="[Measures].[COGS]" caption="COGS" measure="1" displayFolder="" measureGroup="Actuals1_1" count="0"/>
    <cacheHierarchy uniqueName="[Measures].[COGS1]" caption="COGS1" measure="1" displayFolder="" measureGroup="Actuals1_1" count="0"/>
    <cacheHierarchy uniqueName="[Measures].[Gross Profit Margin]" caption="Gross Profit Margin" measure="1" displayFolder="" measureGroup="Actuals1_1" count="0"/>
    <cacheHierarchy uniqueName="[Measures].[Gross Profit Margin 1]" caption="Gross Profit Margin 1" measure="1" displayFolder="" measureGroup="Actuals1_1" count="0"/>
    <cacheHierarchy uniqueName="[Measures].[EBITDA Margin]" caption="EBITDA Margin" measure="1" displayFolder="" measureGroup="Actuals1_1" count="0"/>
    <cacheHierarchy uniqueName="[Measures].[EBITDA Margin 1]" caption="EBITDA Margin 1" measure="1" displayFolder="" measureGroup="Actuals1_1" count="0"/>
    <cacheHierarchy uniqueName="[Measures].[COGS to Revenue]" caption="COGS to Revenue" measure="1" displayFolder="" measureGroup="Actuals1_1" count="0"/>
    <cacheHierarchy uniqueName="[Measures].[COGS to Revenue 1]" caption="COGS to Revenue 1" measure="1" displayFolder="" measureGroup="Actuals1_1" count="0"/>
    <cacheHierarchy uniqueName="[Measures].[__XL_Count Actuals1_1]" caption="__XL_Count Actuals1_1" measure="1" displayFolder="" measureGroup="Actuals1_1" count="0" hidden="1"/>
    <cacheHierarchy uniqueName="[Measures].[__XL_Count P_L]" caption="__XL_Count P_L" measure="1" displayFolder="" measureGroup="P_L" count="0" hidden="1"/>
    <cacheHierarchy uniqueName="[Measures].[__XL_Count Date]" caption="__XL_Count Date" measure="1" displayFolder="" measureGroup="Date" count="0" hidden="1"/>
    <cacheHierarchy uniqueName="[Measures].[__XL_Count Budget2_1]" caption="__XL_Count Budget2_1" measure="1" displayFolder="" measureGroup="Budget2_1" count="0" hidden="1"/>
    <cacheHierarchy uniqueName="[Measures].[__Nie zdefiniowano żadnych miar]" caption="__Nie zdefiniowano żadnych miar" measure="1" displayFolder="" count="0" hidden="1"/>
    <cacheHierarchy uniqueName="[Measures].[_COGS Goal]" caption="_COGS Goal" measure="1" displayFolder="" measureGroup="Actuals1_1" count="0" hidden="1"/>
    <cacheHierarchy uniqueName="[Measures].[_COGS Status]" caption="_COGS Status" measure="1" iconSet="11" displayFolder="" measureGroup="Actuals1_1" count="0" hidden="1"/>
    <cacheHierarchy uniqueName="[Measures].[_COGS1 Goal]" caption="_COGS1 Goal" measure="1" displayFolder="" measureGroup="Actuals1_1" count="0" hidden="1"/>
    <cacheHierarchy uniqueName="[Measures].[_COGS1 Status]" caption="_COGS1 Status" measure="1" iconSet="11" displayFolder="" measureGroup="Actuals1_1" count="0" hidden="1"/>
    <cacheHierarchy uniqueName="[Measures].[_Gross Profit Margin Goal]" caption="_Gross Profit Margin Goal" measure="1" displayFolder="" measureGroup="Actuals1_1" count="0" hidden="1"/>
    <cacheHierarchy uniqueName="[Measures].[_Gross Profit Margin Status]" caption="_Gross Profit Margin Status" measure="1" iconSet="11" displayFolder="" measureGroup="Actuals1_1" count="0" hidden="1"/>
    <cacheHierarchy uniqueName="[Measures].[_Gross Profit Margin 1 Goal]" caption="_Gross Profit Margin 1 Goal" measure="1" displayFolder="" measureGroup="Actuals1_1" count="0" hidden="1"/>
    <cacheHierarchy uniqueName="[Measures].[_Gross Profit Margin 1 Status]" caption="_Gross Profit Margin 1 Status" measure="1" iconSet="11" displayFolder="" measureGroup="Actuals1_1" count="0" hidden="1"/>
    <cacheHierarchy uniqueName="[Measures].[_EBITDA Margin Goal]" caption="_EBITDA Margin Goal" measure="1" displayFolder="" measureGroup="Actuals1_1" count="0" hidden="1"/>
    <cacheHierarchy uniqueName="[Measures].[_EBITDA Margin Status]" caption="_EBITDA Margin Status" measure="1" iconSet="11" displayFolder="" measureGroup="Actuals1_1" count="0" hidden="1"/>
    <cacheHierarchy uniqueName="[Measures].[_EBITDA Margin 1 Goal]" caption="_EBITDA Margin 1 Goal" measure="1" displayFolder="" measureGroup="Actuals1_1" count="0" hidden="1"/>
    <cacheHierarchy uniqueName="[Measures].[_EBITDA Margin 1 Status]" caption="_EBITDA Margin 1 Status" measure="1" iconSet="11" displayFolder="" measureGroup="Actuals1_1" count="0" hidden="1"/>
    <cacheHierarchy uniqueName="[Measures].[_COGS to Revenue Goal]" caption="_COGS to Revenue Goal" measure="1" displayFolder="" measureGroup="Actuals1_1" count="0" hidden="1"/>
    <cacheHierarchy uniqueName="[Measures].[_COGS to Revenue Status]" caption="_COGS to Revenue Status" measure="1" iconSet="11" displayFolder="" measureGroup="Actuals1_1" count="0" hidden="1"/>
    <cacheHierarchy uniqueName="[Measures].[_COGS to Revenue 1 Goal]" caption="_COGS to Revenue 1 Goal" measure="1" displayFolder="" measureGroup="Actuals1_1" count="0" hidden="1"/>
    <cacheHierarchy uniqueName="[Measures].[_COGS to Revenue 1 Status]" caption="_COGS to Revenue 1 Status" measure="1" iconSet="11" displayFolder="" measureGroup="Actuals1_1" count="0" hidden="1"/>
  </cacheHierarchies>
  <kpis count="8">
    <kpi uniqueName="COGS" caption="COGS" displayFolder="" measureGroup="Actuals1_1" parent="" value="[Measures].[COGS]" goal="[Measures].[_COGS Goal]" status="[Measures].[_COGS Status]" trend="" weight=""/>
    <kpi uniqueName="COGS1" caption="COGS1" displayFolder="" measureGroup="Actuals1_1" parent="" value="[Measures].[COGS1]" goal="[Measures].[_COGS1 Goal]" status="[Measures].[_COGS1 Status]" trend="" weight=""/>
    <kpi uniqueName="Gross Profit Margin" caption="Gross Profit Margin" displayFolder="" measureGroup="Actuals1_1" parent="" value="[Measures].[Gross Profit Margin]" goal="[Measures].[_Gross Profit Margin Goal]" status="[Measures].[_Gross Profit Margin Status]" trend="" weight=""/>
    <kpi uniqueName="Gross Profit Margin 1" caption="Gross Profit Margin 1" displayFolder="" measureGroup="Actuals1_1" parent="" value="[Measures].[Gross Profit Margin 1]" goal="[Measures].[_Gross Profit Margin 1 Goal]" status="[Measures].[_Gross Profit Margin 1 Status]" trend="" weight=""/>
    <kpi uniqueName="EBITDA Margin" caption="EBITDA Margin" displayFolder="" measureGroup="Actuals1_1" parent="" value="[Measures].[EBITDA Margin]" goal="[Measures].[_EBITDA Margin Goal]" status="[Measures].[_EBITDA Margin Status]" trend="" weight=""/>
    <kpi uniqueName="EBITDA Margin 1" caption="EBITDA Margin 1" displayFolder="" measureGroup="Actuals1_1" parent="" value="[Measures].[EBITDA Margin 1]" goal="[Measures].[_EBITDA Margin 1 Goal]" status="[Measures].[_EBITDA Margin 1 Status]" trend="" weight=""/>
    <kpi uniqueName="COGS to Revenue" caption="COGS to Revenue" displayFolder="" measureGroup="Actuals1_1" parent="" value="[Measures].[COGS to Revenue]" goal="[Measures].[_COGS to Revenue Goal]" status="[Measures].[_COGS to Revenue Status]" trend="" weight=""/>
    <kpi uniqueName="COGS to Revenue 1" caption="COGS to Revenue 1" displayFolder="" measureGroup="Actuals1_1" parent="" value="[Measures].[COGS to Revenue 1]" goal="[Measures].[_COGS to Revenue 1 Goal]" status="[Measures].[_COGS to Revenue 1 Status]" trend="" weight=""/>
  </kpis>
  <dimensions count="5">
    <dimension name="Actuals1_1" uniqueName="[Actuals1_1]" caption="Actuals1_1"/>
    <dimension name="Budget2_1" uniqueName="[Budget2_1]" caption="Budget2_1"/>
    <dimension name="Date" uniqueName="[Date]" caption="Date"/>
    <dimension measure="1" name="Measures" uniqueName="[Measures]" caption="Measures"/>
    <dimension name="P_L" uniqueName="[P_L]" caption="P_L"/>
  </dimensions>
  <measureGroups count="4">
    <measureGroup name="Actuals1_1" caption="Actuals1_1"/>
    <measureGroup name="Budget2_1" caption="Budget2_1"/>
    <measureGroup name="Date" caption="Date"/>
    <measureGroup name="P_L" caption="P_L"/>
  </measureGroups>
  <maps count="8">
    <map measureGroup="0" dimension="0"/>
    <map measureGroup="0" dimension="2"/>
    <map measureGroup="0" dimension="4"/>
    <map measureGroup="1" dimension="1"/>
    <map measureGroup="1" dimension="2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 Kowalczyk" refreshedDate="46111.869566898145" backgroundQuery="1" createdVersion="8" refreshedVersion="8" minRefreshableVersion="3" recordCount="0" supportSubquery="1" supportAdvancedDrill="1" xr:uid="{EF0E19AF-DBF9-4573-9DF1-662C970E2EFB}">
  <cacheSource type="external" connectionId="1"/>
  <cacheFields count="10">
    <cacheField name="[P_L].[Type].[Type]" caption="Type" numFmtId="0" hierarchy="27" level="1">
      <sharedItems count="1">
        <s v="F. OPEX"/>
      </sharedItems>
    </cacheField>
    <cacheField name="[P_L].[Type1].[Type1]" caption="Type1" numFmtId="0" hierarchy="28" level="1">
      <sharedItems containsBlank="1" count="7">
        <s v="Consulting"/>
        <s v="Insurances"/>
        <s v="Labour"/>
        <s v="Marketing"/>
        <s v="Rent"/>
        <s v="Travel"/>
        <m u="1"/>
      </sharedItems>
    </cacheField>
    <cacheField name="[P_L].[Name].[Name]" caption="Name" numFmtId="0" hierarchy="29" level="1">
      <sharedItems containsBlank="1" count="5">
        <s v="COGS (DE)"/>
        <s v="COGS (NL)"/>
        <s v="COGS (Others)"/>
        <s v="COGS (PL)"/>
        <m u="1"/>
      </sharedItems>
      <extLst>
        <ext xmlns:x15="http://schemas.microsoft.com/office/spreadsheetml/2010/11/main" uri="{4F2E5C28-24EA-4eb8-9CBF-B6C8F9C3D259}">
          <x15:cachedUniqueNames>
            <x15:cachedUniqueName index="4" name="[P_L].[Name].&amp;"/>
          </x15:cachedUniqueNames>
        </ext>
      </extLst>
    </cacheField>
    <cacheField name="[Measures].[Variance to Budget %]" caption="Variance to Budget %" numFmtId="0" hierarchy="40" level="32767"/>
    <cacheField name="[Measures].[YoY %]" caption="YoY %" numFmtId="0" hierarchy="36" level="32767"/>
    <cacheField name="[Measures].[MoM %]" caption="MoM %" numFmtId="0" hierarchy="34" level="32767"/>
    <cacheField name="[Date].[Year].[Year]" caption="Year" numFmtId="0" hierarchy="17" level="1">
      <sharedItems containsSemiMixedTypes="0" containsString="0" containsNumber="1" containsInteger="1" minValue="2025" maxValue="2025" count="1">
        <n v="2025"/>
      </sharedItems>
      <extLst>
        <ext xmlns:x15="http://schemas.microsoft.com/office/spreadsheetml/2010/11/main" uri="{4F2E5C28-24EA-4eb8-9CBF-B6C8F9C3D259}">
          <x15:cachedUniqueNames>
            <x15:cachedUniqueName index="0" name="[Date].[Year].&amp;[2025]"/>
          </x15:cachedUniqueNames>
        </ext>
      </extLst>
    </cacheField>
    <cacheField name="[Date].[Quarter].[Quarter]" caption="Quarter" numFmtId="0" hierarchy="22" level="1">
      <sharedItems count="2">
        <s v="Q1"/>
        <s v="Q2"/>
      </sharedItems>
    </cacheField>
    <cacheField name="[Date].[Month short].[Month short]" caption="Month short" numFmtId="0" hierarchy="24" level="1">
      <sharedItems count="6">
        <s v="Jan"/>
        <s v="Feb"/>
        <s v="Mar"/>
        <s v="Apr"/>
        <s v="May"/>
        <s v="Jun"/>
      </sharedItems>
    </cacheField>
    <cacheField name="[Date].[Year-Month].[Year-Month]" caption="Year-Month" numFmtId="0" hierarchy="21" level="1">
      <sharedItems containsSemiMixedTypes="0" containsNonDate="0" containsString="0"/>
    </cacheField>
  </cacheFields>
  <cacheHierarchies count="86">
    <cacheHierarchy uniqueName="[Actuals1_1].[Account]" caption="Account" attribute="1" defaultMemberUniqueName="[Actuals1_1].[Account].[All]" allUniqueName="[Actuals1_1].[Account].[All]" dimensionUniqueName="[Actuals1_1]" displayFolder="" count="0" memberValueDatatype="5" unbalanced="0"/>
    <cacheHierarchy uniqueName="[Actuals1_1].[Name]" caption="Name" attribute="1" defaultMemberUniqueName="[Actuals1_1].[Name].[All]" allUniqueName="[Actuals1_1].[Name].[All]" dimensionUniqueName="[Actuals1_1]" displayFolder="" count="0" memberValueDatatype="130" unbalanced="0"/>
    <cacheHierarchy uniqueName="[Actuals1_1].[Type]" caption="Type" attribute="1" defaultMemberUniqueName="[Actuals1_1].[Type].[All]" allUniqueName="[Actuals1_1].[Type].[All]" dimensionUniqueName="[Actuals1_1]" displayFolder="" count="0" memberValueDatatype="130" unbalanced="0"/>
    <cacheHierarchy uniqueName="[Actuals1_1].[Type1]" caption="Type1" attribute="1" defaultMemberUniqueName="[Actuals1_1].[Type1].[All]" allUniqueName="[Actuals1_1].[Type1].[All]" dimensionUniqueName="[Actuals1_1]" displayFolder="" count="0" memberValueDatatype="130" unbalanced="0"/>
    <cacheHierarchy uniqueName="[Actuals1_1].[Period]" caption="Period" attribute="1" time="1" defaultMemberUniqueName="[Actuals1_1].[Period].[All]" allUniqueName="[Actuals1_1].[Period].[All]" dimensionUniqueName="[Actuals1_1]" displayFolder="" count="0" memberValueDatatype="7" unbalanced="0"/>
    <cacheHierarchy uniqueName="[Actuals1_1].[Value]" caption="Value" attribute="1" defaultMemberUniqueName="[Actuals1_1].[Value].[All]" allUniqueName="[Actuals1_1].[Value].[All]" dimensionUniqueName="[Actuals1_1]" displayFolder="" count="0" memberValueDatatype="5" unbalanced="0"/>
    <cacheHierarchy uniqueName="[Actuals1_1].[Key]" caption="Key" attribute="1" defaultMemberUniqueName="[Actuals1_1].[Key].[All]" allUniqueName="[Actuals1_1].[Key].[All]" dimensionUniqueName="[Actuals1_1]" displayFolder="" count="0" memberValueDatatype="130" unbalanced="0"/>
    <cacheHierarchy uniqueName="[Actuals1_1].[Period (rok)]" caption="Period (rok)" attribute="1" defaultMemberUniqueName="[Actuals1_1].[Period (rok)].[All]" allUniqueName="[Actuals1_1].[Period (rok)].[All]" dimensionUniqueName="[Actuals1_1]" displayFolder="" count="0" memberValueDatatype="130" unbalanced="0"/>
    <cacheHierarchy uniqueName="[Actuals1_1].[Period (kwartał)]" caption="Period (kwartał)" attribute="1" defaultMemberUniqueName="[Actuals1_1].[Period (kwartał)].[All]" allUniqueName="[Actuals1_1].[Period (kwartał)].[All]" dimensionUniqueName="[Actuals1_1]" displayFolder="" count="0" memberValueDatatype="130" unbalanced="0"/>
    <cacheHierarchy uniqueName="[Actuals1_1].[Period (miesiąc)]" caption="Period (miesiąc)" attribute="1" defaultMemberUniqueName="[Actuals1_1].[Period (miesiąc)].[All]" allUniqueName="[Actuals1_1].[Period (miesiąc)].[All]" dimensionUniqueName="[Actuals1_1]" displayFolder="" count="0" memberValueDatatype="130" unbalanced="0"/>
    <cacheHierarchy uniqueName="[Budget2_1].[Type]" caption="Type" attribute="1" defaultMemberUniqueName="[Budget2_1].[Type].[All]" allUniqueName="[Budget2_1].[Type].[All]" dimensionUniqueName="[Budget2_1]" displayFolder="" count="0" memberValueDatatype="130" unbalanced="0"/>
    <cacheHierarchy uniqueName="[Budget2_1].[Type1]" caption="Type1" attribute="1" defaultMemberUniqueName="[Budget2_1].[Type1].[All]" allUniqueName="[Budget2_1].[Type1].[All]" dimensionUniqueName="[Budget2_1]" displayFolder="" count="0" memberValueDatatype="130" unbalanced="0"/>
    <cacheHierarchy uniqueName="[Budget2_1].[Name]" caption="Name" attribute="1" defaultMemberUniqueName="[Budget2_1].[Name].[All]" allUniqueName="[Budget2_1].[Name].[All]" dimensionUniqueName="[Budget2_1]" displayFolder="" count="0" memberValueDatatype="130" unbalanced="0"/>
    <cacheHierarchy uniqueName="[Budget2_1].[Period]" caption="Period" attribute="1" time="1" defaultMemberUniqueName="[Budget2_1].[Period].[All]" allUniqueName="[Budget2_1].[Period].[All]" dimensionUniqueName="[Budget2_1]" displayFolder="" count="0" memberValueDatatype="7" unbalanced="0"/>
    <cacheHierarchy uniqueName="[Budget2_1].[Value]" caption="Value" attribute="1" defaultMemberUniqueName="[Budget2_1].[Value].[All]" allUniqueName="[Budget2_1].[Value].[All]" dimensionUniqueName="[Budget2_1]" displayFolder="" count="0" memberValueDatatype="5" unbalanced="0"/>
    <cacheHierarchy uniqueName="[Budget2_1].[Key]" caption="Key" attribute="1" defaultMemberUniqueName="[Budget2_1].[Key].[All]" allUniqueName="[Budget2_1].[Key].[All]" dimensionUniqueName="[Budget2_1]" displayFolder="" count="0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Year]" caption="Year" attribute="1" time="1" defaultMemberUniqueName="[Date].[Year].[All]" allUniqueName="[Date].[Year].[All]" dimensionUniqueName="[Date]" displayFolder="" count="2" memberValueDatatype="20" unbalanced="0">
      <fieldsUsage count="2">
        <fieldUsage x="-1"/>
        <fieldUsage x="6"/>
      </fieldsUsage>
    </cacheHierarchy>
    <cacheHierarchy uniqueName="[Date].[Month Number]" caption="Month Number" attribute="1" time="1" defaultMemberUniqueName="[Date].[Month Number].[All]" allUniqueName="[Date].[Month Number].[All]" dimensionUniqueName="[Date]" displayFolder="" count="0" memberValueDatatype="20" unbalanced="0"/>
    <cacheHierarchy uniqueName="[Date].[Hierarchia1]" caption="Hierarchia1" time="1" defaultMemberUniqueName="[Date].[Hierarchia1].[All]" allUniqueName="[Date].[Hierarchia1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ate].[Year-Month]" caption="Year-Month" attribute="1" time="1" defaultMemberUniqueName="[Date].[Year-Month].[All]" allUniqueName="[Date].[Year-Month].[All]" dimensionUniqueName="[Date]" displayFolder="" count="2" memberValueDatatype="130" unbalanced="0">
      <fieldsUsage count="2">
        <fieldUsage x="-1"/>
        <fieldUsage x="9"/>
      </fieldsUsage>
    </cacheHierarchy>
    <cacheHierarchy uniqueName="[Date].[Quarter]" caption="Quarter" attribute="1" time="1" defaultMemberUniqueName="[Date].[Quarter].[All]" allUniqueName="[Date].[Quarter].[All]" dimensionUniqueName="[Date]" displayFolder="" count="2" memberValueDatatype="130" unbalanced="0">
      <fieldsUsage count="2">
        <fieldUsage x="-1"/>
        <fieldUsage x="7"/>
      </fieldsUsage>
    </cacheHierarchy>
    <cacheHierarchy uniqueName="[Date].[Day]" caption="Day" attribute="1" time="1" defaultMemberUniqueName="[Date].[Day].[All]" allUniqueName="[Date].[Day].[All]" dimensionUniqueName="[Date]" displayFolder="" count="0" memberValueDatatype="20" unbalanced="0"/>
    <cacheHierarchy uniqueName="[Date].[Month short]" caption="Month short" attribute="1" time="1" defaultMemberUniqueName="[Date].[Month short].[All]" allUniqueName="[Date].[Month short].[All]" dimensionUniqueName="[Date]" displayFolder="" count="2" memberValueDatatype="130" unbalanced="0">
      <fieldsUsage count="2">
        <fieldUsage x="-1"/>
        <fieldUsage x="8"/>
      </fieldsUsage>
    </cacheHierarchy>
    <cacheHierarchy uniqueName="[Date].[EndOfMonthDate]" caption="EndOfMonthDate" attribute="1" time="1" defaultMemberUniqueName="[Date].[EndOfMonthDate].[All]" allUniqueName="[Date].[EndOfMonthDate].[All]" dimensionUniqueName="[Date]" displayFolder="" count="0" memberValueDatatype="7" unbalanced="0"/>
    <cacheHierarchy uniqueName="[P_L].[Account]" caption="Account" attribute="1" defaultMemberUniqueName="[P_L].[Account].[All]" allUniqueName="[P_L].[Account].[All]" dimensionUniqueName="[P_L]" displayFolder="" count="0" memberValueDatatype="5" unbalanced="0"/>
    <cacheHierarchy uniqueName="[P_L].[Type]" caption="Type" attribute="1" defaultMemberUniqueName="[P_L].[Type].[All]" allUniqueName="[P_L].[Type].[All]" dimensionUniqueName="[P_L]" displayFolder="" count="2" memberValueDatatype="130" unbalanced="0">
      <fieldsUsage count="2">
        <fieldUsage x="-1"/>
        <fieldUsage x="0"/>
      </fieldsUsage>
    </cacheHierarchy>
    <cacheHierarchy uniqueName="[P_L].[Type1]" caption="Type1" attribute="1" defaultMemberUniqueName="[P_L].[Type1].[All]" allUniqueName="[P_L].[Type1].[All]" dimensionUniqueName="[P_L]" displayFolder="" count="2" memberValueDatatype="130" unbalanced="0">
      <fieldsUsage count="2">
        <fieldUsage x="-1"/>
        <fieldUsage x="1"/>
      </fieldsUsage>
    </cacheHierarchy>
    <cacheHierarchy uniqueName="[P_L].[Name]" caption="Name" attribute="1" defaultMemberUniqueName="[P_L].[Name].[All]" allUniqueName="[P_L].[Name].[All]" dimensionUniqueName="[P_L]" displayFolder="" count="2" memberValueDatatype="130" unbalanced="0">
      <fieldsUsage count="2">
        <fieldUsage x="-1"/>
        <fieldUsage x="2"/>
      </fieldsUsage>
    </cacheHierarchy>
    <cacheHierarchy uniqueName="[P_L].[Key]" caption="Key" attribute="1" defaultMemberUniqueName="[P_L].[Key].[All]" allUniqueName="[P_L].[Key].[All]" dimensionUniqueName="[P_L]" displayFolder="" count="0" memberValueDatatype="130" unbalanced="0"/>
    <cacheHierarchy uniqueName="[Actuals1_1].[Period (indeks miesiąca)]" caption="Period (indeks miesiąca)" attribute="1" defaultMemberUniqueName="[Actuals1_1].[Period (indeks miesiąca)].[All]" allUniqueName="[Actuals1_1].[Period (indeks miesiąca)].[All]" dimensionUniqueName="[Actuals1_1]" displayFolder="" count="0" memberValueDatatype="20" unbalanced="0" hidden="1"/>
    <cacheHierarchy uniqueName="[Measures].[Suma Value]" caption="Suma Value" measure="1" displayFolder="" measureGroup="Actuals1_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Value 2]" caption="Suma Value 2" measure="1" displayFolder="" measureGroup="Budget2_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M %]" caption="MoM %" measure="1" displayFolder="" measureGroup="Actuals1_1" count="0" oneField="1">
      <fieldsUsage count="1">
        <fieldUsage x="5"/>
      </fieldsUsage>
    </cacheHierarchy>
    <cacheHierarchy uniqueName="[Measures].[Actuals]" caption="Actuals" measure="1" displayFolder="" measureGroup="Actuals1_1" count="0"/>
    <cacheHierarchy uniqueName="[Measures].[YoY %]" caption="YoY %" measure="1" displayFolder="" measureGroup="Actuals1_1" count="0" oneField="1">
      <fieldsUsage count="1">
        <fieldUsage x="4"/>
      </fieldsUsage>
    </cacheHierarchy>
    <cacheHierarchy uniqueName="[Measures].[Actuals MTD]" caption="Actuals MTD" measure="1" displayFolder="" measureGroup="Actuals1_1" count="0"/>
    <cacheHierarchy uniqueName="[Measures].[Actuals PY]" caption="Actuals PY" measure="1" displayFolder="" measureGroup="Actuals1_1" count="0"/>
    <cacheHierarchy uniqueName="[Measures].[Budget]" caption="Budget" measure="1" displayFolder="" measureGroup="Budget2_1" count="0"/>
    <cacheHierarchy uniqueName="[Measures].[Variance to Budget %]" caption="Variance to Budget %" measure="1" displayFolder="" measureGroup="Actuals1_1" count="0" oneField="1">
      <fieldsUsage count="1">
        <fieldUsage x="3"/>
      </fieldsUsage>
    </cacheHierarchy>
    <cacheHierarchy uniqueName="[Measures].[COGS PY]" caption="COGS PY" measure="1" displayFolder="" measureGroup="Actuals1_1" count="0"/>
    <cacheHierarchy uniqueName="[Measures].[COGS/COGS PY %]" caption="COGS/COGS PY %" measure="1" displayFolder="" measureGroup="Actuals1_1" count="0"/>
    <cacheHierarchy uniqueName="[Measures].[COGS Budget]" caption="COGS Budget" measure="1" displayFolder="" measureGroup="Budget2_1" count="0"/>
    <cacheHierarchy uniqueName="[Measures].[COGS/Budget %]" caption="COGS/Budget %" measure="1" displayFolder="" measureGroup="Actuals1_1" count="0"/>
    <cacheHierarchy uniqueName="[Measures].[Gross Profit Margin PY]" caption="Gross Profit Margin PY" measure="1" displayFolder="" measureGroup="Actuals1_1" count="0"/>
    <cacheHierarchy uniqueName="[Measures].[Gross Profit Margin Budget]" caption="Gross Profit Margin Budget" measure="1" displayFolder="" measureGroup="Actuals1_1" count="0"/>
    <cacheHierarchy uniqueName="[Measures].[Gross Profit Margin/Gross Profit Margin PY %]" caption="Gross Profit Margin/Gross Profit Margin PY %" measure="1" displayFolder="" measureGroup="Actuals1_1" count="0"/>
    <cacheHierarchy uniqueName="[Measures].[Gross Profit Margin/Gross Profit Margin Budget %]" caption="Gross Profit Margin/Gross Profit Margin Budget %" measure="1" displayFolder="" measureGroup="Actuals1_1" count="0"/>
    <cacheHierarchy uniqueName="[Measures].[EBITDA Margin PY]" caption="EBITDA Margin PY" measure="1" displayFolder="" measureGroup="Actuals1_1" count="0"/>
    <cacheHierarchy uniqueName="[Measures].[EBITDA Margin Budget]" caption="EBITDA Margin Budget" measure="1" displayFolder="" measureGroup="Actuals1_1" count="0"/>
    <cacheHierarchy uniqueName="[Measures].[EBITDA Margin / EBITDA Margin PY]" caption="EBITDA Margin / EBITDA Margin PY" measure="1" displayFolder="" measureGroup="Actuals1_1" count="0"/>
    <cacheHierarchy uniqueName="[Measures].[EBITDA Margin/EBITDA Margin Budget]" caption="EBITDA Margin/EBITDA Margin Budget" measure="1" displayFolder="" measureGroup="Actuals1_1" count="0"/>
    <cacheHierarchy uniqueName="[Measures].[COGS to Revenue PY]" caption="COGS to Revenue PY" measure="1" displayFolder="" measureGroup="Actuals1_1" count="0"/>
    <cacheHierarchy uniqueName="[Measures].[COGS to Revenue Budget]" caption="COGS to Revenue Budget" measure="1" displayFolder="" measureGroup="Actuals1_1" count="0"/>
    <cacheHierarchy uniqueName="[Measures].[COGS to Revenue / COGS to Revenue PY]" caption="COGS to Revenue / COGS to Revenue PY" measure="1" displayFolder="" measureGroup="Actuals1_1" count="0"/>
    <cacheHierarchy uniqueName="[Measures].[COGS to Revenue / COGS to Revenue Budget]" caption="COGS to Revenue / COGS to Revenue Budget" measure="1" displayFolder="" measureGroup="Actuals1_1" count="0"/>
    <cacheHierarchy uniqueName="[Measures].[COGS]" caption="COGS" measure="1" displayFolder="" measureGroup="Actuals1_1" count="0"/>
    <cacheHierarchy uniqueName="[Measures].[COGS1]" caption="COGS1" measure="1" displayFolder="" measureGroup="Actuals1_1" count="0"/>
    <cacheHierarchy uniqueName="[Measures].[Gross Profit Margin]" caption="Gross Profit Margin" measure="1" displayFolder="" measureGroup="Actuals1_1" count="0"/>
    <cacheHierarchy uniqueName="[Measures].[Gross Profit Margin 1]" caption="Gross Profit Margin 1" measure="1" displayFolder="" measureGroup="Actuals1_1" count="0"/>
    <cacheHierarchy uniqueName="[Measures].[EBITDA Margin]" caption="EBITDA Margin" measure="1" displayFolder="" measureGroup="Actuals1_1" count="0"/>
    <cacheHierarchy uniqueName="[Measures].[EBITDA Margin 1]" caption="EBITDA Margin 1" measure="1" displayFolder="" measureGroup="Actuals1_1" count="0"/>
    <cacheHierarchy uniqueName="[Measures].[COGS to Revenue]" caption="COGS to Revenue" measure="1" displayFolder="" measureGroup="Actuals1_1" count="0"/>
    <cacheHierarchy uniqueName="[Measures].[COGS to Revenue 1]" caption="COGS to Revenue 1" measure="1" displayFolder="" measureGroup="Actuals1_1" count="0"/>
    <cacheHierarchy uniqueName="[Measures].[__XL_Count Actuals1_1]" caption="__XL_Count Actuals1_1" measure="1" displayFolder="" measureGroup="Actuals1_1" count="0" hidden="1"/>
    <cacheHierarchy uniqueName="[Measures].[__XL_Count P_L]" caption="__XL_Count P_L" measure="1" displayFolder="" measureGroup="P_L" count="0" hidden="1"/>
    <cacheHierarchy uniqueName="[Measures].[__XL_Count Date]" caption="__XL_Count Date" measure="1" displayFolder="" measureGroup="Date" count="0" hidden="1"/>
    <cacheHierarchy uniqueName="[Measures].[__XL_Count Budget2_1]" caption="__XL_Count Budget2_1" measure="1" displayFolder="" measureGroup="Budget2_1" count="0" hidden="1"/>
    <cacheHierarchy uniqueName="[Measures].[__Nie zdefiniowano żadnych miar]" caption="__Nie zdefiniowano żadnych miar" measure="1" displayFolder="" count="0" hidden="1"/>
    <cacheHierarchy uniqueName="[Measures].[_COGS Goal]" caption="_COGS Goal" measure="1" displayFolder="" measureGroup="Actuals1_1" count="0" hidden="1"/>
    <cacheHierarchy uniqueName="[Measures].[_COGS Status]" caption="_COGS Status" measure="1" iconSet="11" displayFolder="" measureGroup="Actuals1_1" count="0" hidden="1"/>
    <cacheHierarchy uniqueName="[Measures].[_COGS1 Goal]" caption="_COGS1 Goal" measure="1" displayFolder="" measureGroup="Actuals1_1" count="0" hidden="1"/>
    <cacheHierarchy uniqueName="[Measures].[_COGS1 Status]" caption="_COGS1 Status" measure="1" iconSet="11" displayFolder="" measureGroup="Actuals1_1" count="0" hidden="1"/>
    <cacheHierarchy uniqueName="[Measures].[_Gross Profit Margin Goal]" caption="_Gross Profit Margin Goal" measure="1" displayFolder="" measureGroup="Actuals1_1" count="0" hidden="1"/>
    <cacheHierarchy uniqueName="[Measures].[_Gross Profit Margin Status]" caption="_Gross Profit Margin Status" measure="1" iconSet="11" displayFolder="" measureGroup="Actuals1_1" count="0" hidden="1"/>
    <cacheHierarchy uniqueName="[Measures].[_Gross Profit Margin 1 Goal]" caption="_Gross Profit Margin 1 Goal" measure="1" displayFolder="" measureGroup="Actuals1_1" count="0" hidden="1"/>
    <cacheHierarchy uniqueName="[Measures].[_Gross Profit Margin 1 Status]" caption="_Gross Profit Margin 1 Status" measure="1" iconSet="11" displayFolder="" measureGroup="Actuals1_1" count="0" hidden="1"/>
    <cacheHierarchy uniqueName="[Measures].[_EBITDA Margin Goal]" caption="_EBITDA Margin Goal" measure="1" displayFolder="" measureGroup="Actuals1_1" count="0" hidden="1"/>
    <cacheHierarchy uniqueName="[Measures].[_EBITDA Margin Status]" caption="_EBITDA Margin Status" measure="1" iconSet="11" displayFolder="" measureGroup="Actuals1_1" count="0" hidden="1"/>
    <cacheHierarchy uniqueName="[Measures].[_EBITDA Margin 1 Goal]" caption="_EBITDA Margin 1 Goal" measure="1" displayFolder="" measureGroup="Actuals1_1" count="0" hidden="1"/>
    <cacheHierarchy uniqueName="[Measures].[_EBITDA Margin 1 Status]" caption="_EBITDA Margin 1 Status" measure="1" iconSet="11" displayFolder="" measureGroup="Actuals1_1" count="0" hidden="1"/>
    <cacheHierarchy uniqueName="[Measures].[_COGS to Revenue Goal]" caption="_COGS to Revenue Goal" measure="1" displayFolder="" measureGroup="Actuals1_1" count="0" hidden="1"/>
    <cacheHierarchy uniqueName="[Measures].[_COGS to Revenue Status]" caption="_COGS to Revenue Status" measure="1" iconSet="11" displayFolder="" measureGroup="Actuals1_1" count="0" hidden="1"/>
    <cacheHierarchy uniqueName="[Measures].[_COGS to Revenue 1 Goal]" caption="_COGS to Revenue 1 Goal" measure="1" displayFolder="" measureGroup="Actuals1_1" count="0" hidden="1"/>
    <cacheHierarchy uniqueName="[Measures].[_COGS to Revenue 1 Status]" caption="_COGS to Revenue 1 Status" measure="1" iconSet="11" displayFolder="" measureGroup="Actuals1_1" count="0" hidden="1"/>
  </cacheHierarchies>
  <kpis count="8">
    <kpi uniqueName="COGS" caption="COGS" displayFolder="" measureGroup="Actuals1_1" parent="" value="[Measures].[COGS]" goal="[Measures].[_COGS Goal]" status="[Measures].[_COGS Status]" trend="" weight=""/>
    <kpi uniqueName="COGS1" caption="COGS1" displayFolder="" measureGroup="Actuals1_1" parent="" value="[Measures].[COGS1]" goal="[Measures].[_COGS1 Goal]" status="[Measures].[_COGS1 Status]" trend="" weight=""/>
    <kpi uniqueName="Gross Profit Margin" caption="Gross Profit Margin" displayFolder="" measureGroup="Actuals1_1" parent="" value="[Measures].[Gross Profit Margin]" goal="[Measures].[_Gross Profit Margin Goal]" status="[Measures].[_Gross Profit Margin Status]" trend="" weight=""/>
    <kpi uniqueName="Gross Profit Margin 1" caption="Gross Profit Margin 1" displayFolder="" measureGroup="Actuals1_1" parent="" value="[Measures].[Gross Profit Margin 1]" goal="[Measures].[_Gross Profit Margin 1 Goal]" status="[Measures].[_Gross Profit Margin 1 Status]" trend="" weight=""/>
    <kpi uniqueName="EBITDA Margin" caption="EBITDA Margin" displayFolder="" measureGroup="Actuals1_1" parent="" value="[Measures].[EBITDA Margin]" goal="[Measures].[_EBITDA Margin Goal]" status="[Measures].[_EBITDA Margin Status]" trend="" weight=""/>
    <kpi uniqueName="EBITDA Margin 1" caption="EBITDA Margin 1" displayFolder="" measureGroup="Actuals1_1" parent="" value="[Measures].[EBITDA Margin 1]" goal="[Measures].[_EBITDA Margin 1 Goal]" status="[Measures].[_EBITDA Margin 1 Status]" trend="" weight=""/>
    <kpi uniqueName="COGS to Revenue" caption="COGS to Revenue" displayFolder="" measureGroup="Actuals1_1" parent="" value="[Measures].[COGS to Revenue]" goal="[Measures].[_COGS to Revenue Goal]" status="[Measures].[_COGS to Revenue Status]" trend="" weight=""/>
    <kpi uniqueName="COGS to Revenue 1" caption="COGS to Revenue 1" displayFolder="" measureGroup="Actuals1_1" parent="" value="[Measures].[COGS to Revenue 1]" goal="[Measures].[_COGS to Revenue 1 Goal]" status="[Measures].[_COGS to Revenue 1 Status]" trend="" weight=""/>
  </kpis>
  <dimensions count="5">
    <dimension name="Actuals1_1" uniqueName="[Actuals1_1]" caption="Actuals1_1"/>
    <dimension name="Budget2_1" uniqueName="[Budget2_1]" caption="Budget2_1"/>
    <dimension name="Date" uniqueName="[Date]" caption="Date"/>
    <dimension measure="1" name="Measures" uniqueName="[Measures]" caption="Measures"/>
    <dimension name="P_L" uniqueName="[P_L]" caption="P_L"/>
  </dimensions>
  <measureGroups count="4">
    <measureGroup name="Actuals1_1" caption="Actuals1_1"/>
    <measureGroup name="Budget2_1" caption="Budget2_1"/>
    <measureGroup name="Date" caption="Date"/>
    <measureGroup name="P_L" caption="P_L"/>
  </measureGroups>
  <maps count="8">
    <map measureGroup="0" dimension="0"/>
    <map measureGroup="0" dimension="2"/>
    <map measureGroup="0" dimension="4"/>
    <map measureGroup="1" dimension="1"/>
    <map measureGroup="1" dimension="2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 Kowalczyk" refreshedDate="46108.739046064817" backgroundQuery="1" createdVersion="3" refreshedVersion="8" minRefreshableVersion="3" recordCount="0" supportSubquery="1" supportAdvancedDrill="1" xr:uid="{61155A42-56CE-48DE-8CFC-4FD330AD24B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6">
    <cacheHierarchy uniqueName="[Actuals1_1].[Account]" caption="Account" attribute="1" defaultMemberUniqueName="[Actuals1_1].[Account].[All]" allUniqueName="[Actuals1_1].[Account].[All]" dimensionUniqueName="[Actuals1_1]" displayFolder="" count="0" memberValueDatatype="5" unbalanced="0"/>
    <cacheHierarchy uniqueName="[Actuals1_1].[Name]" caption="Name" attribute="1" defaultMemberUniqueName="[Actuals1_1].[Name].[All]" allUniqueName="[Actuals1_1].[Name].[All]" dimensionUniqueName="[Actuals1_1]" displayFolder="" count="0" memberValueDatatype="130" unbalanced="0"/>
    <cacheHierarchy uniqueName="[Actuals1_1].[Type]" caption="Type" attribute="1" defaultMemberUniqueName="[Actuals1_1].[Type].[All]" allUniqueName="[Actuals1_1].[Type].[All]" dimensionUniqueName="[Actuals1_1]" displayFolder="" count="0" memberValueDatatype="130" unbalanced="0"/>
    <cacheHierarchy uniqueName="[Actuals1_1].[Type1]" caption="Type1" attribute="1" defaultMemberUniqueName="[Actuals1_1].[Type1].[All]" allUniqueName="[Actuals1_1].[Type1].[All]" dimensionUniqueName="[Actuals1_1]" displayFolder="" count="0" memberValueDatatype="130" unbalanced="0"/>
    <cacheHierarchy uniqueName="[Actuals1_1].[Period]" caption="Period" attribute="1" time="1" defaultMemberUniqueName="[Actuals1_1].[Period].[All]" allUniqueName="[Actuals1_1].[Period].[All]" dimensionUniqueName="[Actuals1_1]" displayFolder="" count="0" memberValueDatatype="7" unbalanced="0"/>
    <cacheHierarchy uniqueName="[Actuals1_1].[Value]" caption="Value" attribute="1" defaultMemberUniqueName="[Actuals1_1].[Value].[All]" allUniqueName="[Actuals1_1].[Value].[All]" dimensionUniqueName="[Actuals1_1]" displayFolder="" count="0" memberValueDatatype="5" unbalanced="0"/>
    <cacheHierarchy uniqueName="[Actuals1_1].[Key]" caption="Key" attribute="1" defaultMemberUniqueName="[Actuals1_1].[Key].[All]" allUniqueName="[Actuals1_1].[Key].[All]" dimensionUniqueName="[Actuals1_1]" displayFolder="" count="0" memberValueDatatype="130" unbalanced="0"/>
    <cacheHierarchy uniqueName="[Actuals1_1].[Period (rok)]" caption="Period (rok)" attribute="1" defaultMemberUniqueName="[Actuals1_1].[Period (rok)].[All]" allUniqueName="[Actuals1_1].[Period (rok)].[All]" dimensionUniqueName="[Actuals1_1]" displayFolder="" count="0" memberValueDatatype="130" unbalanced="0"/>
    <cacheHierarchy uniqueName="[Actuals1_1].[Period (kwartał)]" caption="Period (kwartał)" attribute="1" defaultMemberUniqueName="[Actuals1_1].[Period (kwartał)].[All]" allUniqueName="[Actuals1_1].[Period (kwartał)].[All]" dimensionUniqueName="[Actuals1_1]" displayFolder="" count="0" memberValueDatatype="130" unbalanced="0"/>
    <cacheHierarchy uniqueName="[Actuals1_1].[Period (miesiąc)]" caption="Period (miesiąc)" attribute="1" defaultMemberUniqueName="[Actuals1_1].[Period (miesiąc)].[All]" allUniqueName="[Actuals1_1].[Period (miesiąc)].[All]" dimensionUniqueName="[Actuals1_1]" displayFolder="" count="0" memberValueDatatype="130" unbalanced="0"/>
    <cacheHierarchy uniqueName="[Budget2_1].[Type]" caption="Type" attribute="1" defaultMemberUniqueName="[Budget2_1].[Type].[All]" allUniqueName="[Budget2_1].[Type].[All]" dimensionUniqueName="[Budget2_1]" displayFolder="" count="0" memberValueDatatype="130" unbalanced="0"/>
    <cacheHierarchy uniqueName="[Budget2_1].[Type1]" caption="Type1" attribute="1" defaultMemberUniqueName="[Budget2_1].[Type1].[All]" allUniqueName="[Budget2_1].[Type1].[All]" dimensionUniqueName="[Budget2_1]" displayFolder="" count="0" memberValueDatatype="130" unbalanced="0"/>
    <cacheHierarchy uniqueName="[Budget2_1].[Name]" caption="Name" attribute="1" defaultMemberUniqueName="[Budget2_1].[Name].[All]" allUniqueName="[Budget2_1].[Name].[All]" dimensionUniqueName="[Budget2_1]" displayFolder="" count="0" memberValueDatatype="130" unbalanced="0"/>
    <cacheHierarchy uniqueName="[Budget2_1].[Period]" caption="Period" attribute="1" time="1" defaultMemberUniqueName="[Budget2_1].[Period].[All]" allUniqueName="[Budget2_1].[Period].[All]" dimensionUniqueName="[Budget2_1]" displayFolder="" count="0" memberValueDatatype="7" unbalanced="0"/>
    <cacheHierarchy uniqueName="[Budget2_1].[Value]" caption="Value" attribute="1" defaultMemberUniqueName="[Budget2_1].[Value].[All]" allUniqueName="[Budget2_1].[Value].[All]" dimensionUniqueName="[Budget2_1]" displayFolder="" count="0" memberValueDatatype="5" unbalanced="0"/>
    <cacheHierarchy uniqueName="[Budget2_1].[Key]" caption="Key" attribute="1" defaultMemberUniqueName="[Budget2_1].[Key].[All]" allUniqueName="[Budget2_1].[Key].[All]" dimensionUniqueName="[Budget2_1]" displayFolder="" count="0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Year]" caption="Year" attribute="1" time="1" defaultMemberUniqueName="[Date].[Year].[All]" allUniqueName="[Date].[Year].[All]" dimensionUniqueName="[Date]" displayFolder="" count="0" memberValueDatatype="20" unbalanced="0"/>
    <cacheHierarchy uniqueName="[Date].[Month Number]" caption="Month Number" attribute="1" time="1" defaultMemberUniqueName="[Date].[Month Number].[All]" allUniqueName="[Date].[Month Number].[All]" dimensionUniqueName="[Date]" displayFolder="" count="0" memberValueDatatype="20" unbalanced="0"/>
    <cacheHierarchy uniqueName="[Date].[Hierarchia1]" caption="Hierarchia1" time="1" defaultMemberUniqueName="[Date].[Hierarchia1].[All]" allUniqueName="[Date].[Hierarchia1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ate].[Year-Month]" caption="Year-Month" attribute="1" time="1" defaultMemberUniqueName="[Date].[Year-Month].[All]" allUniqueName="[Date].[Year-Month].[All]" dimensionUniqueName="[Date]" displayFolder="" count="0" memberValueDatatype="130" unbalanced="0"/>
    <cacheHierarchy uniqueName="[Date].[Quarter]" caption="Quarter" attribute="1" time="1" defaultMemberUniqueName="[Date].[Quarter].[All]" allUniqueName="[Date].[Quarter].[All]" dimensionUniqueName="[Date]" displayFolder="" count="0" memberValueDatatype="130" unbalanced="0"/>
    <cacheHierarchy uniqueName="[Date].[Day]" caption="Day" attribute="1" time="1" defaultMemberUniqueName="[Date].[Day].[All]" allUniqueName="[Date].[Day].[All]" dimensionUniqueName="[Date]" displayFolder="" count="0" memberValueDatatype="20" unbalanced="0"/>
    <cacheHierarchy uniqueName="[Date].[Month short]" caption="Month short" attribute="1" time="1" defaultMemberUniqueName="[Date].[Month short].[All]" allUniqueName="[Date].[Month short].[All]" dimensionUniqueName="[Date]" displayFolder="" count="0" memberValueDatatype="130" unbalanced="0"/>
    <cacheHierarchy uniqueName="[Date].[EndOfMonthDate]" caption="EndOfMonthDate" attribute="1" time="1" defaultMemberUniqueName="[Date].[EndOfMonthDate].[All]" allUniqueName="[Date].[EndOfMonthDate].[All]" dimensionUniqueName="[Date]" displayFolder="" count="0" memberValueDatatype="7" unbalanced="0"/>
    <cacheHierarchy uniqueName="[P_L].[Account]" caption="Account" attribute="1" defaultMemberUniqueName="[P_L].[Account].[All]" allUniqueName="[P_L].[Account].[All]" dimensionUniqueName="[P_L]" displayFolder="" count="0" memberValueDatatype="5" unbalanced="0"/>
    <cacheHierarchy uniqueName="[P_L].[Type]" caption="Type" attribute="1" defaultMemberUniqueName="[P_L].[Type].[All]" allUniqueName="[P_L].[Type].[All]" dimensionUniqueName="[P_L]" displayFolder="" count="2" memberValueDatatype="130" unbalanced="0"/>
    <cacheHierarchy uniqueName="[P_L].[Type1]" caption="Type1" attribute="1" defaultMemberUniqueName="[P_L].[Type1].[All]" allUniqueName="[P_L].[Type1].[All]" dimensionUniqueName="[P_L]" displayFolder="" count="2" memberValueDatatype="130" unbalanced="0"/>
    <cacheHierarchy uniqueName="[P_L].[Name]" caption="Name" attribute="1" defaultMemberUniqueName="[P_L].[Name].[All]" allUniqueName="[P_L].[Name].[All]" dimensionUniqueName="[P_L]" displayFolder="" count="2" memberValueDatatype="130" unbalanced="0"/>
    <cacheHierarchy uniqueName="[P_L].[Key]" caption="Key" attribute="1" defaultMemberUniqueName="[P_L].[Key].[All]" allUniqueName="[P_L].[Key].[All]" dimensionUniqueName="[P_L]" displayFolder="" count="0" memberValueDatatype="130" unbalanced="0"/>
    <cacheHierarchy uniqueName="[Actuals1_1].[Period (indeks miesiąca)]" caption="Period (indeks miesiąca)" attribute="1" defaultMemberUniqueName="[Actuals1_1].[Period (indeks miesiąca)].[All]" allUniqueName="[Actuals1_1].[Period (indeks miesiąca)].[All]" dimensionUniqueName="[Actuals1_1]" displayFolder="" count="0" memberValueDatatype="20" unbalanced="0" hidden="1"/>
    <cacheHierarchy uniqueName="[Measures].[Suma Value]" caption="Suma Value" measure="1" displayFolder="" measureGroup="Actuals1_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Value 2]" caption="Suma Value 2" measure="1" displayFolder="" measureGroup="Budget2_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M %]" caption="MoM %" measure="1" displayFolder="" measureGroup="Actuals1_1" count="0"/>
    <cacheHierarchy uniqueName="[Measures].[Actuals]" caption="Actuals" measure="1" displayFolder="" measureGroup="Actuals1_1" count="0"/>
    <cacheHierarchy uniqueName="[Measures].[YoY %]" caption="YoY %" measure="1" displayFolder="" measureGroup="Actuals1_1" count="0"/>
    <cacheHierarchy uniqueName="[Measures].[Actuals MTD]" caption="Actuals MTD" measure="1" displayFolder="" measureGroup="Actuals1_1" count="0"/>
    <cacheHierarchy uniqueName="[Measures].[Actuals PY]" caption="Actuals PY" measure="1" displayFolder="" measureGroup="Actuals1_1" count="0"/>
    <cacheHierarchy uniqueName="[Measures].[Budget]" caption="Budget" measure="1" displayFolder="" measureGroup="Budget2_1" count="0"/>
    <cacheHierarchy uniqueName="[Measures].[Variance to Budget %]" caption="Variance to Budget %" measure="1" displayFolder="" measureGroup="Actuals1_1" count="0"/>
    <cacheHierarchy uniqueName="[Measures].[COGS PY]" caption="COGS PY" measure="1" displayFolder="" measureGroup="Actuals1_1" count="0"/>
    <cacheHierarchy uniqueName="[Measures].[COGS/COGS PY %]" caption="COGS/COGS PY %" measure="1" displayFolder="" measureGroup="Actuals1_1" count="0"/>
    <cacheHierarchy uniqueName="[Measures].[COGS Budget]" caption="COGS Budget" measure="1" displayFolder="" measureGroup="Budget2_1" count="0"/>
    <cacheHierarchy uniqueName="[Measures].[COGS/Budget %]" caption="COGS/Budget %" measure="1" displayFolder="" measureGroup="Actuals1_1" count="0"/>
    <cacheHierarchy uniqueName="[Measures].[Gross Profit Margin PY]" caption="Gross Profit Margin PY" measure="1" displayFolder="" measureGroup="Actuals1_1" count="0"/>
    <cacheHierarchy uniqueName="[Measures].[Gross Profit Margin Budget]" caption="Gross Profit Margin Budget" measure="1" displayFolder="" measureGroup="Actuals1_1" count="0"/>
    <cacheHierarchy uniqueName="[Measures].[Gross Profit Margin/Gross Profit Margin PY %]" caption="Gross Profit Margin/Gross Profit Margin PY %" measure="1" displayFolder="" measureGroup="Actuals1_1" count="0"/>
    <cacheHierarchy uniqueName="[Measures].[Gross Profit Margin/Gross Profit Margin Budget %]" caption="Gross Profit Margin/Gross Profit Margin Budget %" measure="1" displayFolder="" measureGroup="Actuals1_1" count="0"/>
    <cacheHierarchy uniqueName="[Measures].[EBITDA Margin PY]" caption="EBITDA Margin PY" measure="1" displayFolder="" measureGroup="Actuals1_1" count="0"/>
    <cacheHierarchy uniqueName="[Measures].[EBITDA Margin Budget]" caption="EBITDA Margin Budget" measure="1" displayFolder="" measureGroup="Actuals1_1" count="0"/>
    <cacheHierarchy uniqueName="[Measures].[EBITDA Margin / EBITDA Margin PY]" caption="EBITDA Margin / EBITDA Margin PY" measure="1" displayFolder="" measureGroup="Actuals1_1" count="0"/>
    <cacheHierarchy uniqueName="[Measures].[EBITDA Margin/EBITDA Margin Budget]" caption="EBITDA Margin/EBITDA Margin Budget" measure="1" displayFolder="" measureGroup="Actuals1_1" count="0"/>
    <cacheHierarchy uniqueName="[Measures].[COGS to Revenue PY]" caption="COGS to Revenue PY" measure="1" displayFolder="" measureGroup="Actuals1_1" count="0"/>
    <cacheHierarchy uniqueName="[Measures].[COGS to Revenue Budget]" caption="COGS to Revenue Budget" measure="1" displayFolder="" measureGroup="Actuals1_1" count="0"/>
    <cacheHierarchy uniqueName="[Measures].[COGS to Revenue / COGS to Revenue PY]" caption="COGS to Revenue / COGS to Revenue PY" measure="1" displayFolder="" measureGroup="Actuals1_1" count="0"/>
    <cacheHierarchy uniqueName="[Measures].[COGS to Revenue / COGS to Revenue Budget]" caption="COGS to Revenue / COGS to Revenue Budget" measure="1" displayFolder="" measureGroup="Actuals1_1" count="0"/>
    <cacheHierarchy uniqueName="[Measures].[COGS]" caption="COGS" measure="1" displayFolder="" measureGroup="Actuals1_1" count="0"/>
    <cacheHierarchy uniqueName="[Measures].[COGS1]" caption="COGS1" measure="1" displayFolder="" measureGroup="Actuals1_1" count="0"/>
    <cacheHierarchy uniqueName="[Measures].[Gross Profit Margin]" caption="Gross Profit Margin" measure="1" displayFolder="" measureGroup="Actuals1_1" count="0"/>
    <cacheHierarchy uniqueName="[Measures].[Gross Profit Margin 1]" caption="Gross Profit Margin 1" measure="1" displayFolder="" measureGroup="Actuals1_1" count="0"/>
    <cacheHierarchy uniqueName="[Measures].[EBITDA Margin]" caption="EBITDA Margin" measure="1" displayFolder="" measureGroup="Actuals1_1" count="0"/>
    <cacheHierarchy uniqueName="[Measures].[EBITDA Margin 1]" caption="EBITDA Margin 1" measure="1" displayFolder="" measureGroup="Actuals1_1" count="0"/>
    <cacheHierarchy uniqueName="[Measures].[COGS to Revenue]" caption="COGS to Revenue" measure="1" displayFolder="" measureGroup="Actuals1_1" count="0"/>
    <cacheHierarchy uniqueName="[Measures].[COGS to Revenue 1]" caption="COGS to Revenue 1" measure="1" displayFolder="" measureGroup="Actuals1_1" count="0"/>
    <cacheHierarchy uniqueName="[Measures].[__XL_Count Actuals1_1]" caption="__XL_Count Actuals1_1" measure="1" displayFolder="" measureGroup="Actuals1_1" count="0" hidden="1"/>
    <cacheHierarchy uniqueName="[Measures].[__XL_Count P_L]" caption="__XL_Count P_L" measure="1" displayFolder="" measureGroup="P_L" count="0" hidden="1"/>
    <cacheHierarchy uniqueName="[Measures].[__XL_Count Date]" caption="__XL_Count Date" measure="1" displayFolder="" measureGroup="Date" count="0" hidden="1"/>
    <cacheHierarchy uniqueName="[Measures].[__XL_Count Budget2_1]" caption="__XL_Count Budget2_1" measure="1" displayFolder="" measureGroup="Budget2_1" count="0" hidden="1"/>
    <cacheHierarchy uniqueName="[Measures].[__Nie zdefiniowano żadnych miar]" caption="__Nie zdefiniowano żadnych miar" measure="1" displayFolder="" count="0" hidden="1"/>
    <cacheHierarchy uniqueName="[Measures].[_COGS Goal]" caption="_COGS Goal" measure="1" displayFolder="" measureGroup="Actuals1_1" count="0" hidden="1"/>
    <cacheHierarchy uniqueName="[Measures].[_COGS Status]" caption="_COGS Status" measure="1" iconSet="11" displayFolder="" measureGroup="Actuals1_1" count="0" hidden="1"/>
    <cacheHierarchy uniqueName="[Measures].[_COGS1 Goal]" caption="_COGS1 Goal" measure="1" displayFolder="" measureGroup="Actuals1_1" count="0" hidden="1"/>
    <cacheHierarchy uniqueName="[Measures].[_COGS1 Status]" caption="_COGS1 Status" measure="1" iconSet="11" displayFolder="" measureGroup="Actuals1_1" count="0" hidden="1"/>
    <cacheHierarchy uniqueName="[Measures].[_Gross Profit Margin Goal]" caption="_Gross Profit Margin Goal" measure="1" displayFolder="" measureGroup="Actuals1_1" count="0" hidden="1"/>
    <cacheHierarchy uniqueName="[Measures].[_Gross Profit Margin Status]" caption="_Gross Profit Margin Status" measure="1" iconSet="11" displayFolder="" measureGroup="Actuals1_1" count="0" hidden="1"/>
    <cacheHierarchy uniqueName="[Measures].[_Gross Profit Margin 1 Goal]" caption="_Gross Profit Margin 1 Goal" measure="1" displayFolder="" measureGroup="Actuals1_1" count="0" hidden="1"/>
    <cacheHierarchy uniqueName="[Measures].[_Gross Profit Margin 1 Status]" caption="_Gross Profit Margin 1 Status" measure="1" iconSet="11" displayFolder="" measureGroup="Actuals1_1" count="0" hidden="1"/>
    <cacheHierarchy uniqueName="[Measures].[_EBITDA Margin Goal]" caption="_EBITDA Margin Goal" measure="1" displayFolder="" measureGroup="Actuals1_1" count="0" hidden="1"/>
    <cacheHierarchy uniqueName="[Measures].[_EBITDA Margin Status]" caption="_EBITDA Margin Status" measure="1" iconSet="11" displayFolder="" measureGroup="Actuals1_1" count="0" hidden="1"/>
    <cacheHierarchy uniqueName="[Measures].[_EBITDA Margin 1 Goal]" caption="_EBITDA Margin 1 Goal" measure="1" displayFolder="" measureGroup="Actuals1_1" count="0" hidden="1"/>
    <cacheHierarchy uniqueName="[Measures].[_EBITDA Margin 1 Status]" caption="_EBITDA Margin 1 Status" measure="1" iconSet="11" displayFolder="" measureGroup="Actuals1_1" count="0" hidden="1"/>
    <cacheHierarchy uniqueName="[Measures].[_COGS to Revenue Goal]" caption="_COGS to Revenue Goal" measure="1" displayFolder="" measureGroup="Actuals1_1" count="0" hidden="1"/>
    <cacheHierarchy uniqueName="[Measures].[_COGS to Revenue Status]" caption="_COGS to Revenue Status" measure="1" iconSet="11" displayFolder="" measureGroup="Actuals1_1" count="0" hidden="1"/>
    <cacheHierarchy uniqueName="[Measures].[_COGS to Revenue 1 Goal]" caption="_COGS to Revenue 1 Goal" measure="1" displayFolder="" measureGroup="Actuals1_1" count="0" hidden="1"/>
    <cacheHierarchy uniqueName="[Measures].[_COGS to Revenue 1 Status]" caption="_COGS to Revenue 1 Status" measure="1" iconSet="11" displayFolder="" measureGroup="Actuals1_1" count="0" hidden="1"/>
  </cacheHierarchies>
  <kpis count="8">
    <kpi uniqueName="COGS" caption="COGS" displayFolder="" measureGroup="Actuals1_1" parent="" value="[Measures].[COGS]" goal="[Measures].[_COGS Goal]" status="[Measures].[_COGS Status]" trend="" weight=""/>
    <kpi uniqueName="COGS1" caption="COGS1" displayFolder="" measureGroup="Actuals1_1" parent="" value="[Measures].[COGS1]" goal="[Measures].[_COGS1 Goal]" status="[Measures].[_COGS1 Status]" trend="" weight=""/>
    <kpi uniqueName="Gross Profit Margin" caption="Gross Profit Margin" displayFolder="" measureGroup="Actuals1_1" parent="" value="[Measures].[Gross Profit Margin]" goal="[Measures].[_Gross Profit Margin Goal]" status="[Measures].[_Gross Profit Margin Status]" trend="" weight=""/>
    <kpi uniqueName="Gross Profit Margin 1" caption="Gross Profit Margin 1" displayFolder="" measureGroup="Actuals1_1" parent="" value="[Measures].[Gross Profit Margin 1]" goal="[Measures].[_Gross Profit Margin 1 Goal]" status="[Measures].[_Gross Profit Margin 1 Status]" trend="" weight=""/>
    <kpi uniqueName="EBITDA Margin" caption="EBITDA Margin" displayFolder="" measureGroup="Actuals1_1" parent="" value="[Measures].[EBITDA Margin]" goal="[Measures].[_EBITDA Margin Goal]" status="[Measures].[_EBITDA Margin Status]" trend="" weight=""/>
    <kpi uniqueName="EBITDA Margin 1" caption="EBITDA Margin 1" displayFolder="" measureGroup="Actuals1_1" parent="" value="[Measures].[EBITDA Margin 1]" goal="[Measures].[_EBITDA Margin 1 Goal]" status="[Measures].[_EBITDA Margin 1 Status]" trend="" weight=""/>
    <kpi uniqueName="COGS to Revenue" caption="COGS to Revenue" displayFolder="" measureGroup="Actuals1_1" parent="" value="[Measures].[COGS to Revenue]" goal="[Measures].[_COGS to Revenue Goal]" status="[Measures].[_COGS to Revenue Status]" trend="" weight=""/>
    <kpi uniqueName="COGS to Revenue 1" caption="COGS to Revenue 1" displayFolder="" measureGroup="Actuals1_1" parent="" value="[Measures].[COGS to Revenue 1]" goal="[Measures].[_COGS to Revenue 1 Goal]" status="[Measures].[_COGS to Revenue 1 Status]" trend="" weight=""/>
  </kpis>
  <extLst>
    <ext xmlns:x14="http://schemas.microsoft.com/office/spreadsheetml/2009/9/main" uri="{725AE2AE-9491-48be-B2B4-4EB974FC3084}">
      <x14:pivotCacheDefinition slicerData="1" pivotCacheId="1333317425"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 Kowalczyk" refreshedDate="46108.73905196759" backgroundQuery="1" createdVersion="3" refreshedVersion="8" minRefreshableVersion="3" recordCount="0" supportSubquery="1" supportAdvancedDrill="1" xr:uid="{6C305DF0-E27B-4A91-9F9B-61FD040B0C67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6">
    <cacheHierarchy uniqueName="[Actuals1_1].[Account]" caption="Account" attribute="1" defaultMemberUniqueName="[Actuals1_1].[Account].[All]" allUniqueName="[Actuals1_1].[Account].[All]" dimensionUniqueName="[Actuals1_1]" displayFolder="" count="0" memberValueDatatype="5" unbalanced="0"/>
    <cacheHierarchy uniqueName="[Actuals1_1].[Name]" caption="Name" attribute="1" defaultMemberUniqueName="[Actuals1_1].[Name].[All]" allUniqueName="[Actuals1_1].[Name].[All]" dimensionUniqueName="[Actuals1_1]" displayFolder="" count="0" memberValueDatatype="130" unbalanced="0"/>
    <cacheHierarchy uniqueName="[Actuals1_1].[Type]" caption="Type" attribute="1" defaultMemberUniqueName="[Actuals1_1].[Type].[All]" allUniqueName="[Actuals1_1].[Type].[All]" dimensionUniqueName="[Actuals1_1]" displayFolder="" count="0" memberValueDatatype="130" unbalanced="0"/>
    <cacheHierarchy uniqueName="[Actuals1_1].[Type1]" caption="Type1" attribute="1" defaultMemberUniqueName="[Actuals1_1].[Type1].[All]" allUniqueName="[Actuals1_1].[Type1].[All]" dimensionUniqueName="[Actuals1_1]" displayFolder="" count="0" memberValueDatatype="130" unbalanced="0"/>
    <cacheHierarchy uniqueName="[Actuals1_1].[Period]" caption="Period" attribute="1" time="1" defaultMemberUniqueName="[Actuals1_1].[Period].[All]" allUniqueName="[Actuals1_1].[Period].[All]" dimensionUniqueName="[Actuals1_1]" displayFolder="" count="0" memberValueDatatype="7" unbalanced="0"/>
    <cacheHierarchy uniqueName="[Actuals1_1].[Value]" caption="Value" attribute="1" defaultMemberUniqueName="[Actuals1_1].[Value].[All]" allUniqueName="[Actuals1_1].[Value].[All]" dimensionUniqueName="[Actuals1_1]" displayFolder="" count="0" memberValueDatatype="5" unbalanced="0"/>
    <cacheHierarchy uniqueName="[Actuals1_1].[Key]" caption="Key" attribute="1" defaultMemberUniqueName="[Actuals1_1].[Key].[All]" allUniqueName="[Actuals1_1].[Key].[All]" dimensionUniqueName="[Actuals1_1]" displayFolder="" count="0" memberValueDatatype="130" unbalanced="0"/>
    <cacheHierarchy uniqueName="[Actuals1_1].[Period (rok)]" caption="Period (rok)" attribute="1" defaultMemberUniqueName="[Actuals1_1].[Period (rok)].[All]" allUniqueName="[Actuals1_1].[Period (rok)].[All]" dimensionUniqueName="[Actuals1_1]" displayFolder="" count="0" memberValueDatatype="130" unbalanced="0"/>
    <cacheHierarchy uniqueName="[Actuals1_1].[Period (kwartał)]" caption="Period (kwartał)" attribute="1" defaultMemberUniqueName="[Actuals1_1].[Period (kwartał)].[All]" allUniqueName="[Actuals1_1].[Period (kwartał)].[All]" dimensionUniqueName="[Actuals1_1]" displayFolder="" count="0" memberValueDatatype="130" unbalanced="0"/>
    <cacheHierarchy uniqueName="[Actuals1_1].[Period (miesiąc)]" caption="Period (miesiąc)" attribute="1" defaultMemberUniqueName="[Actuals1_1].[Period (miesiąc)].[All]" allUniqueName="[Actuals1_1].[Period (miesiąc)].[All]" dimensionUniqueName="[Actuals1_1]" displayFolder="" count="0" memberValueDatatype="130" unbalanced="0"/>
    <cacheHierarchy uniqueName="[Budget2_1].[Type]" caption="Type" attribute="1" defaultMemberUniqueName="[Budget2_1].[Type].[All]" allUniqueName="[Budget2_1].[Type].[All]" dimensionUniqueName="[Budget2_1]" displayFolder="" count="0" memberValueDatatype="130" unbalanced="0"/>
    <cacheHierarchy uniqueName="[Budget2_1].[Type1]" caption="Type1" attribute="1" defaultMemberUniqueName="[Budget2_1].[Type1].[All]" allUniqueName="[Budget2_1].[Type1].[All]" dimensionUniqueName="[Budget2_1]" displayFolder="" count="0" memberValueDatatype="130" unbalanced="0"/>
    <cacheHierarchy uniqueName="[Budget2_1].[Name]" caption="Name" attribute="1" defaultMemberUniqueName="[Budget2_1].[Name].[All]" allUniqueName="[Budget2_1].[Name].[All]" dimensionUniqueName="[Budget2_1]" displayFolder="" count="0" memberValueDatatype="130" unbalanced="0"/>
    <cacheHierarchy uniqueName="[Budget2_1].[Period]" caption="Period" attribute="1" time="1" defaultMemberUniqueName="[Budget2_1].[Period].[All]" allUniqueName="[Budget2_1].[Period].[All]" dimensionUniqueName="[Budget2_1]" displayFolder="" count="0" memberValueDatatype="7" unbalanced="0"/>
    <cacheHierarchy uniqueName="[Budget2_1].[Value]" caption="Value" attribute="1" defaultMemberUniqueName="[Budget2_1].[Value].[All]" allUniqueName="[Budget2_1].[Value].[All]" dimensionUniqueName="[Budget2_1]" displayFolder="" count="0" memberValueDatatype="5" unbalanced="0"/>
    <cacheHierarchy uniqueName="[Budget2_1].[Key]" caption="Key" attribute="1" defaultMemberUniqueName="[Budget2_1].[Key].[All]" allUniqueName="[Budget2_1].[Key].[All]" dimensionUniqueName="[Budget2_1]" displayFolder="" count="0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Year]" caption="Year" attribute="1" time="1" defaultMemberUniqueName="[Date].[Year].[All]" allUniqueName="[Date].[Year].[All]" dimensionUniqueName="[Date]" displayFolder="" count="0" memberValueDatatype="20" unbalanced="0"/>
    <cacheHierarchy uniqueName="[Date].[Month Number]" caption="Month Number" attribute="1" time="1" defaultMemberUniqueName="[Date].[Month Number].[All]" allUniqueName="[Date].[Month Number].[All]" dimensionUniqueName="[Date]" displayFolder="" count="0" memberValueDatatype="20" unbalanced="0"/>
    <cacheHierarchy uniqueName="[Date].[Hierarchia1]" caption="Hierarchia1" time="1" defaultMemberUniqueName="[Date].[Hierarchia1].[All]" allUniqueName="[Date].[Hierarchia1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ate].[Year-Month]" caption="Year-Month" attribute="1" time="1" defaultMemberUniqueName="[Date].[Year-Month].[All]" allUniqueName="[Date].[Year-Month].[All]" dimensionUniqueName="[Date]" displayFolder="" count="0" memberValueDatatype="130" unbalanced="0"/>
    <cacheHierarchy uniqueName="[Date].[Quarter]" caption="Quarter" attribute="1" time="1" defaultMemberUniqueName="[Date].[Quarter].[All]" allUniqueName="[Date].[Quarter].[All]" dimensionUniqueName="[Date]" displayFolder="" count="0" memberValueDatatype="130" unbalanced="0"/>
    <cacheHierarchy uniqueName="[Date].[Day]" caption="Day" attribute="1" time="1" defaultMemberUniqueName="[Date].[Day].[All]" allUniqueName="[Date].[Day].[All]" dimensionUniqueName="[Date]" displayFolder="" count="0" memberValueDatatype="20" unbalanced="0"/>
    <cacheHierarchy uniqueName="[Date].[Month short]" caption="Month short" attribute="1" time="1" defaultMemberUniqueName="[Date].[Month short].[All]" allUniqueName="[Date].[Month short].[All]" dimensionUniqueName="[Date]" displayFolder="" count="0" memberValueDatatype="130" unbalanced="0"/>
    <cacheHierarchy uniqueName="[Date].[EndOfMonthDate]" caption="EndOfMonthDate" attribute="1" time="1" defaultMemberUniqueName="[Date].[EndOfMonthDate].[All]" allUniqueName="[Date].[EndOfMonthDate].[All]" dimensionUniqueName="[Date]" displayFolder="" count="0" memberValueDatatype="7" unbalanced="0"/>
    <cacheHierarchy uniqueName="[P_L].[Account]" caption="Account" attribute="1" defaultMemberUniqueName="[P_L].[Account].[All]" allUniqueName="[P_L].[Account].[All]" dimensionUniqueName="[P_L]" displayFolder="" count="0" memberValueDatatype="5" unbalanced="0"/>
    <cacheHierarchy uniqueName="[P_L].[Type]" caption="Type" attribute="1" defaultMemberUniqueName="[P_L].[Type].[All]" allUniqueName="[P_L].[Type].[All]" dimensionUniqueName="[P_L]" displayFolder="" count="2" memberValueDatatype="130" unbalanced="0"/>
    <cacheHierarchy uniqueName="[P_L].[Type1]" caption="Type1" attribute="1" defaultMemberUniqueName="[P_L].[Type1].[All]" allUniqueName="[P_L].[Type1].[All]" dimensionUniqueName="[P_L]" displayFolder="" count="2" memberValueDatatype="130" unbalanced="0"/>
    <cacheHierarchy uniqueName="[P_L].[Name]" caption="Name" attribute="1" defaultMemberUniqueName="[P_L].[Name].[All]" allUniqueName="[P_L].[Name].[All]" dimensionUniqueName="[P_L]" displayFolder="" count="2" memberValueDatatype="130" unbalanced="0"/>
    <cacheHierarchy uniqueName="[P_L].[Key]" caption="Key" attribute="1" defaultMemberUniqueName="[P_L].[Key].[All]" allUniqueName="[P_L].[Key].[All]" dimensionUniqueName="[P_L]" displayFolder="" count="0" memberValueDatatype="130" unbalanced="0"/>
    <cacheHierarchy uniqueName="[Actuals1_1].[Period (indeks miesiąca)]" caption="Period (indeks miesiąca)" attribute="1" defaultMemberUniqueName="[Actuals1_1].[Period (indeks miesiąca)].[All]" allUniqueName="[Actuals1_1].[Period (indeks miesiąca)].[All]" dimensionUniqueName="[Actuals1_1]" displayFolder="" count="0" memberValueDatatype="20" unbalanced="0" hidden="1"/>
    <cacheHierarchy uniqueName="[Measures].[Suma Value]" caption="Suma Value" measure="1" displayFolder="" measureGroup="Actuals1_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Value 2]" caption="Suma Value 2" measure="1" displayFolder="" measureGroup="Budget2_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M %]" caption="MoM %" measure="1" displayFolder="" measureGroup="Actuals1_1" count="0"/>
    <cacheHierarchy uniqueName="[Measures].[Actuals]" caption="Actuals" measure="1" displayFolder="" measureGroup="Actuals1_1" count="0"/>
    <cacheHierarchy uniqueName="[Measures].[YoY %]" caption="YoY %" measure="1" displayFolder="" measureGroup="Actuals1_1" count="0"/>
    <cacheHierarchy uniqueName="[Measures].[Actuals MTD]" caption="Actuals MTD" measure="1" displayFolder="" measureGroup="Actuals1_1" count="0"/>
    <cacheHierarchy uniqueName="[Measures].[Actuals PY]" caption="Actuals PY" measure="1" displayFolder="" measureGroup="Actuals1_1" count="0"/>
    <cacheHierarchy uniqueName="[Measures].[Budget]" caption="Budget" measure="1" displayFolder="" measureGroup="Budget2_1" count="0"/>
    <cacheHierarchy uniqueName="[Measures].[Variance to Budget %]" caption="Variance to Budget %" measure="1" displayFolder="" measureGroup="Actuals1_1" count="0"/>
    <cacheHierarchy uniqueName="[Measures].[COGS PY]" caption="COGS PY" measure="1" displayFolder="" measureGroup="Actuals1_1" count="0"/>
    <cacheHierarchy uniqueName="[Measures].[COGS/COGS PY %]" caption="COGS/COGS PY %" measure="1" displayFolder="" measureGroup="Actuals1_1" count="0"/>
    <cacheHierarchy uniqueName="[Measures].[COGS Budget]" caption="COGS Budget" measure="1" displayFolder="" measureGroup="Budget2_1" count="0"/>
    <cacheHierarchy uniqueName="[Measures].[COGS/Budget %]" caption="COGS/Budget %" measure="1" displayFolder="" measureGroup="Actuals1_1" count="0"/>
    <cacheHierarchy uniqueName="[Measures].[Gross Profit Margin PY]" caption="Gross Profit Margin PY" measure="1" displayFolder="" measureGroup="Actuals1_1" count="0"/>
    <cacheHierarchy uniqueName="[Measures].[Gross Profit Margin Budget]" caption="Gross Profit Margin Budget" measure="1" displayFolder="" measureGroup="Actuals1_1" count="0"/>
    <cacheHierarchy uniqueName="[Measures].[Gross Profit Margin/Gross Profit Margin PY %]" caption="Gross Profit Margin/Gross Profit Margin PY %" measure="1" displayFolder="" measureGroup="Actuals1_1" count="0"/>
    <cacheHierarchy uniqueName="[Measures].[Gross Profit Margin/Gross Profit Margin Budget %]" caption="Gross Profit Margin/Gross Profit Margin Budget %" measure="1" displayFolder="" measureGroup="Actuals1_1" count="0"/>
    <cacheHierarchy uniqueName="[Measures].[EBITDA Margin PY]" caption="EBITDA Margin PY" measure="1" displayFolder="" measureGroup="Actuals1_1" count="0"/>
    <cacheHierarchy uniqueName="[Measures].[EBITDA Margin Budget]" caption="EBITDA Margin Budget" measure="1" displayFolder="" measureGroup="Actuals1_1" count="0"/>
    <cacheHierarchy uniqueName="[Measures].[EBITDA Margin / EBITDA Margin PY]" caption="EBITDA Margin / EBITDA Margin PY" measure="1" displayFolder="" measureGroup="Actuals1_1" count="0"/>
    <cacheHierarchy uniqueName="[Measures].[EBITDA Margin/EBITDA Margin Budget]" caption="EBITDA Margin/EBITDA Margin Budget" measure="1" displayFolder="" measureGroup="Actuals1_1" count="0"/>
    <cacheHierarchy uniqueName="[Measures].[COGS to Revenue PY]" caption="COGS to Revenue PY" measure="1" displayFolder="" measureGroup="Actuals1_1" count="0"/>
    <cacheHierarchy uniqueName="[Measures].[COGS to Revenue Budget]" caption="COGS to Revenue Budget" measure="1" displayFolder="" measureGroup="Actuals1_1" count="0"/>
    <cacheHierarchy uniqueName="[Measures].[COGS to Revenue / COGS to Revenue PY]" caption="COGS to Revenue / COGS to Revenue PY" measure="1" displayFolder="" measureGroup="Actuals1_1" count="0"/>
    <cacheHierarchy uniqueName="[Measures].[COGS to Revenue / COGS to Revenue Budget]" caption="COGS to Revenue / COGS to Revenue Budget" measure="1" displayFolder="" measureGroup="Actuals1_1" count="0"/>
    <cacheHierarchy uniqueName="[Measures].[COGS]" caption="COGS" measure="1" displayFolder="" measureGroup="Actuals1_1" count="0"/>
    <cacheHierarchy uniqueName="[Measures].[COGS1]" caption="COGS1" measure="1" displayFolder="" measureGroup="Actuals1_1" count="0"/>
    <cacheHierarchy uniqueName="[Measures].[Gross Profit Margin]" caption="Gross Profit Margin" measure="1" displayFolder="" measureGroup="Actuals1_1" count="0"/>
    <cacheHierarchy uniqueName="[Measures].[Gross Profit Margin 1]" caption="Gross Profit Margin 1" measure="1" displayFolder="" measureGroup="Actuals1_1" count="0"/>
    <cacheHierarchy uniqueName="[Measures].[EBITDA Margin]" caption="EBITDA Margin" measure="1" displayFolder="" measureGroup="Actuals1_1" count="0"/>
    <cacheHierarchy uniqueName="[Measures].[EBITDA Margin 1]" caption="EBITDA Margin 1" measure="1" displayFolder="" measureGroup="Actuals1_1" count="0"/>
    <cacheHierarchy uniqueName="[Measures].[COGS to Revenue]" caption="COGS to Revenue" measure="1" displayFolder="" measureGroup="Actuals1_1" count="0"/>
    <cacheHierarchy uniqueName="[Measures].[COGS to Revenue 1]" caption="COGS to Revenue 1" measure="1" displayFolder="" measureGroup="Actuals1_1" count="0"/>
    <cacheHierarchy uniqueName="[Measures].[__XL_Count Actuals1_1]" caption="__XL_Count Actuals1_1" measure="1" displayFolder="" measureGroup="Actuals1_1" count="0" hidden="1"/>
    <cacheHierarchy uniqueName="[Measures].[__XL_Count P_L]" caption="__XL_Count P_L" measure="1" displayFolder="" measureGroup="P_L" count="0" hidden="1"/>
    <cacheHierarchy uniqueName="[Measures].[__XL_Count Date]" caption="__XL_Count Date" measure="1" displayFolder="" measureGroup="Date" count="0" hidden="1"/>
    <cacheHierarchy uniqueName="[Measures].[__XL_Count Budget2_1]" caption="__XL_Count Budget2_1" measure="1" displayFolder="" measureGroup="Budget2_1" count="0" hidden="1"/>
    <cacheHierarchy uniqueName="[Measures].[__Nie zdefiniowano żadnych miar]" caption="__Nie zdefiniowano żadnych miar" measure="1" displayFolder="" count="0" hidden="1"/>
    <cacheHierarchy uniqueName="[Measures].[_COGS Goal]" caption="_COGS Goal" measure="1" displayFolder="" measureGroup="Actuals1_1" count="0" hidden="1"/>
    <cacheHierarchy uniqueName="[Measures].[_COGS Status]" caption="_COGS Status" measure="1" iconSet="11" displayFolder="" measureGroup="Actuals1_1" count="0" hidden="1"/>
    <cacheHierarchy uniqueName="[Measures].[_COGS1 Goal]" caption="_COGS1 Goal" measure="1" displayFolder="" measureGroup="Actuals1_1" count="0" hidden="1"/>
    <cacheHierarchy uniqueName="[Measures].[_COGS1 Status]" caption="_COGS1 Status" measure="1" iconSet="11" displayFolder="" measureGroup="Actuals1_1" count="0" hidden="1"/>
    <cacheHierarchy uniqueName="[Measures].[_Gross Profit Margin Goal]" caption="_Gross Profit Margin Goal" measure="1" displayFolder="" measureGroup="Actuals1_1" count="0" hidden="1"/>
    <cacheHierarchy uniqueName="[Measures].[_Gross Profit Margin Status]" caption="_Gross Profit Margin Status" measure="1" iconSet="11" displayFolder="" measureGroup="Actuals1_1" count="0" hidden="1"/>
    <cacheHierarchy uniqueName="[Measures].[_Gross Profit Margin 1 Goal]" caption="_Gross Profit Margin 1 Goal" measure="1" displayFolder="" measureGroup="Actuals1_1" count="0" hidden="1"/>
    <cacheHierarchy uniqueName="[Measures].[_Gross Profit Margin 1 Status]" caption="_Gross Profit Margin 1 Status" measure="1" iconSet="11" displayFolder="" measureGroup="Actuals1_1" count="0" hidden="1"/>
    <cacheHierarchy uniqueName="[Measures].[_EBITDA Margin Goal]" caption="_EBITDA Margin Goal" measure="1" displayFolder="" measureGroup="Actuals1_1" count="0" hidden="1"/>
    <cacheHierarchy uniqueName="[Measures].[_EBITDA Margin Status]" caption="_EBITDA Margin Status" measure="1" iconSet="11" displayFolder="" measureGroup="Actuals1_1" count="0" hidden="1"/>
    <cacheHierarchy uniqueName="[Measures].[_EBITDA Margin 1 Goal]" caption="_EBITDA Margin 1 Goal" measure="1" displayFolder="" measureGroup="Actuals1_1" count="0" hidden="1"/>
    <cacheHierarchy uniqueName="[Measures].[_EBITDA Margin 1 Status]" caption="_EBITDA Margin 1 Status" measure="1" iconSet="11" displayFolder="" measureGroup="Actuals1_1" count="0" hidden="1"/>
    <cacheHierarchy uniqueName="[Measures].[_COGS to Revenue Goal]" caption="_COGS to Revenue Goal" measure="1" displayFolder="" measureGroup="Actuals1_1" count="0" hidden="1"/>
    <cacheHierarchy uniqueName="[Measures].[_COGS to Revenue Status]" caption="_COGS to Revenue Status" measure="1" iconSet="11" displayFolder="" measureGroup="Actuals1_1" count="0" hidden="1"/>
    <cacheHierarchy uniqueName="[Measures].[_COGS to Revenue 1 Goal]" caption="_COGS to Revenue 1 Goal" measure="1" displayFolder="" measureGroup="Actuals1_1" count="0" hidden="1"/>
    <cacheHierarchy uniqueName="[Measures].[_COGS to Revenue 1 Status]" caption="_COGS to Revenue 1 Status" measure="1" iconSet="11" displayFolder="" measureGroup="Actuals1_1" count="0" hidden="1"/>
  </cacheHierarchies>
  <kpis count="8">
    <kpi uniqueName="COGS" caption="COGS" displayFolder="" measureGroup="Actuals1_1" parent="" value="[Measures].[COGS]" goal="[Measures].[_COGS Goal]" status="[Measures].[_COGS Status]" trend="" weight=""/>
    <kpi uniqueName="COGS1" caption="COGS1" displayFolder="" measureGroup="Actuals1_1" parent="" value="[Measures].[COGS1]" goal="[Measures].[_COGS1 Goal]" status="[Measures].[_COGS1 Status]" trend="" weight=""/>
    <kpi uniqueName="Gross Profit Margin" caption="Gross Profit Margin" displayFolder="" measureGroup="Actuals1_1" parent="" value="[Measures].[Gross Profit Margin]" goal="[Measures].[_Gross Profit Margin Goal]" status="[Measures].[_Gross Profit Margin Status]" trend="" weight=""/>
    <kpi uniqueName="Gross Profit Margin 1" caption="Gross Profit Margin 1" displayFolder="" measureGroup="Actuals1_1" parent="" value="[Measures].[Gross Profit Margin 1]" goal="[Measures].[_Gross Profit Margin 1 Goal]" status="[Measures].[_Gross Profit Margin 1 Status]" trend="" weight=""/>
    <kpi uniqueName="EBITDA Margin" caption="EBITDA Margin" displayFolder="" measureGroup="Actuals1_1" parent="" value="[Measures].[EBITDA Margin]" goal="[Measures].[_EBITDA Margin Goal]" status="[Measures].[_EBITDA Margin Status]" trend="" weight=""/>
    <kpi uniqueName="EBITDA Margin 1" caption="EBITDA Margin 1" displayFolder="" measureGroup="Actuals1_1" parent="" value="[Measures].[EBITDA Margin 1]" goal="[Measures].[_EBITDA Margin 1 Goal]" status="[Measures].[_EBITDA Margin 1 Status]" trend="" weight=""/>
    <kpi uniqueName="COGS to Revenue" caption="COGS to Revenue" displayFolder="" measureGroup="Actuals1_1" parent="" value="[Measures].[COGS to Revenue]" goal="[Measures].[_COGS to Revenue Goal]" status="[Measures].[_COGS to Revenue Status]" trend="" weight=""/>
    <kpi uniqueName="COGS to Revenue 1" caption="COGS to Revenue 1" displayFolder="" measureGroup="Actuals1_1" parent="" value="[Measures].[COGS to Revenue 1]" goal="[Measures].[_COGS to Revenue 1 Goal]" status="[Measures].[_COGS to Revenue 1 Status]" trend="" weight=""/>
  </kpis>
  <extLst>
    <ext xmlns:x14="http://schemas.microsoft.com/office/spreadsheetml/2009/9/main" uri="{725AE2AE-9491-48be-B2B4-4EB974FC3084}">
      <x14:pivotCacheDefinition slicerData="1" pivotCacheId="646403393"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 Kowalczyk" refreshedDate="46108.739040509259" backgroundQuery="1" createdVersion="3" refreshedVersion="8" minRefreshableVersion="3" recordCount="0" supportSubquery="1" supportAdvancedDrill="1" xr:uid="{7F08D029-4EAB-4258-9CA7-382B004BC8D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6">
    <cacheHierarchy uniqueName="[Actuals1_1].[Account]" caption="Account" attribute="1" defaultMemberUniqueName="[Actuals1_1].[Account].[All]" allUniqueName="[Actuals1_1].[Account].[All]" dimensionUniqueName="[Actuals1_1]" displayFolder="" count="0" memberValueDatatype="5" unbalanced="0"/>
    <cacheHierarchy uniqueName="[Actuals1_1].[Name]" caption="Name" attribute="1" defaultMemberUniqueName="[Actuals1_1].[Name].[All]" allUniqueName="[Actuals1_1].[Name].[All]" dimensionUniqueName="[Actuals1_1]" displayFolder="" count="0" memberValueDatatype="130" unbalanced="0"/>
    <cacheHierarchy uniqueName="[Actuals1_1].[Type]" caption="Type" attribute="1" defaultMemberUniqueName="[Actuals1_1].[Type].[All]" allUniqueName="[Actuals1_1].[Type].[All]" dimensionUniqueName="[Actuals1_1]" displayFolder="" count="0" memberValueDatatype="130" unbalanced="0"/>
    <cacheHierarchy uniqueName="[Actuals1_1].[Type1]" caption="Type1" attribute="1" defaultMemberUniqueName="[Actuals1_1].[Type1].[All]" allUniqueName="[Actuals1_1].[Type1].[All]" dimensionUniqueName="[Actuals1_1]" displayFolder="" count="0" memberValueDatatype="130" unbalanced="0"/>
    <cacheHierarchy uniqueName="[Actuals1_1].[Period]" caption="Period" attribute="1" time="1" defaultMemberUniqueName="[Actuals1_1].[Period].[All]" allUniqueName="[Actuals1_1].[Period].[All]" dimensionUniqueName="[Actuals1_1]" displayFolder="" count="0" memberValueDatatype="7" unbalanced="0"/>
    <cacheHierarchy uniqueName="[Actuals1_1].[Value]" caption="Value" attribute="1" defaultMemberUniqueName="[Actuals1_1].[Value].[All]" allUniqueName="[Actuals1_1].[Value].[All]" dimensionUniqueName="[Actuals1_1]" displayFolder="" count="0" memberValueDatatype="5" unbalanced="0"/>
    <cacheHierarchy uniqueName="[Actuals1_1].[Key]" caption="Key" attribute="1" defaultMemberUniqueName="[Actuals1_1].[Key].[All]" allUniqueName="[Actuals1_1].[Key].[All]" dimensionUniqueName="[Actuals1_1]" displayFolder="" count="0" memberValueDatatype="130" unbalanced="0"/>
    <cacheHierarchy uniqueName="[Actuals1_1].[Period (rok)]" caption="Period (rok)" attribute="1" defaultMemberUniqueName="[Actuals1_1].[Period (rok)].[All]" allUniqueName="[Actuals1_1].[Period (rok)].[All]" dimensionUniqueName="[Actuals1_1]" displayFolder="" count="0" memberValueDatatype="130" unbalanced="0"/>
    <cacheHierarchy uniqueName="[Actuals1_1].[Period (kwartał)]" caption="Period (kwartał)" attribute="1" defaultMemberUniqueName="[Actuals1_1].[Period (kwartał)].[All]" allUniqueName="[Actuals1_1].[Period (kwartał)].[All]" dimensionUniqueName="[Actuals1_1]" displayFolder="" count="0" memberValueDatatype="130" unbalanced="0"/>
    <cacheHierarchy uniqueName="[Actuals1_1].[Period (miesiąc)]" caption="Period (miesiąc)" attribute="1" defaultMemberUniqueName="[Actuals1_1].[Period (miesiąc)].[All]" allUniqueName="[Actuals1_1].[Period (miesiąc)].[All]" dimensionUniqueName="[Actuals1_1]" displayFolder="" count="0" memberValueDatatype="130" unbalanced="0"/>
    <cacheHierarchy uniqueName="[Budget2_1].[Type]" caption="Type" attribute="1" defaultMemberUniqueName="[Budget2_1].[Type].[All]" allUniqueName="[Budget2_1].[Type].[All]" dimensionUniqueName="[Budget2_1]" displayFolder="" count="0" memberValueDatatype="130" unbalanced="0"/>
    <cacheHierarchy uniqueName="[Budget2_1].[Type1]" caption="Type1" attribute="1" defaultMemberUniqueName="[Budget2_1].[Type1].[All]" allUniqueName="[Budget2_1].[Type1].[All]" dimensionUniqueName="[Budget2_1]" displayFolder="" count="0" memberValueDatatype="130" unbalanced="0"/>
    <cacheHierarchy uniqueName="[Budget2_1].[Name]" caption="Name" attribute="1" defaultMemberUniqueName="[Budget2_1].[Name].[All]" allUniqueName="[Budget2_1].[Name].[All]" dimensionUniqueName="[Budget2_1]" displayFolder="" count="0" memberValueDatatype="130" unbalanced="0"/>
    <cacheHierarchy uniqueName="[Budget2_1].[Period]" caption="Period" attribute="1" time="1" defaultMemberUniqueName="[Budget2_1].[Period].[All]" allUniqueName="[Budget2_1].[Period].[All]" dimensionUniqueName="[Budget2_1]" displayFolder="" count="0" memberValueDatatype="7" unbalanced="0"/>
    <cacheHierarchy uniqueName="[Budget2_1].[Value]" caption="Value" attribute="1" defaultMemberUniqueName="[Budget2_1].[Value].[All]" allUniqueName="[Budget2_1].[Value].[All]" dimensionUniqueName="[Budget2_1]" displayFolder="" count="0" memberValueDatatype="5" unbalanced="0"/>
    <cacheHierarchy uniqueName="[Budget2_1].[Key]" caption="Key" attribute="1" defaultMemberUniqueName="[Budget2_1].[Key].[All]" allUniqueName="[Budget2_1].[Key].[All]" dimensionUniqueName="[Budget2_1]" displayFolder="" count="0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2" memberValueDatatype="7" unbalanced="0"/>
    <cacheHierarchy uniqueName="[Date].[Year]" caption="Year" attribute="1" time="1" defaultMemberUniqueName="[Date].[Year].[All]" allUniqueName="[Date].[Year].[All]" dimensionUniqueName="[Date]" displayFolder="" count="0" memberValueDatatype="20" unbalanced="0"/>
    <cacheHierarchy uniqueName="[Date].[Month Number]" caption="Month Number" attribute="1" time="1" defaultMemberUniqueName="[Date].[Month Number].[All]" allUniqueName="[Date].[Month Number].[All]" dimensionUniqueName="[Date]" displayFolder="" count="0" memberValueDatatype="20" unbalanced="0"/>
    <cacheHierarchy uniqueName="[Date].[Hierarchia1]" caption="Hierarchia1" time="1" defaultMemberUniqueName="[Date].[Hierarchia1].[All]" allUniqueName="[Date].[Hierarchia1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ate].[Year-Month]" caption="Year-Month" attribute="1" time="1" defaultMemberUniqueName="[Date].[Year-Month].[All]" allUniqueName="[Date].[Year-Month].[All]" dimensionUniqueName="[Date]" displayFolder="" count="0" memberValueDatatype="130" unbalanced="0"/>
    <cacheHierarchy uniqueName="[Date].[Quarter]" caption="Quarter" attribute="1" time="1" defaultMemberUniqueName="[Date].[Quarter].[All]" allUniqueName="[Date].[Quarter].[All]" dimensionUniqueName="[Date]" displayFolder="" count="0" memberValueDatatype="130" unbalanced="0"/>
    <cacheHierarchy uniqueName="[Date].[Day]" caption="Day" attribute="1" time="1" defaultMemberUniqueName="[Date].[Day].[All]" allUniqueName="[Date].[Day].[All]" dimensionUniqueName="[Date]" displayFolder="" count="0" memberValueDatatype="20" unbalanced="0"/>
    <cacheHierarchy uniqueName="[Date].[Month short]" caption="Month short" attribute="1" time="1" defaultMemberUniqueName="[Date].[Month short].[All]" allUniqueName="[Date].[Month short].[All]" dimensionUniqueName="[Date]" displayFolder="" count="0" memberValueDatatype="130" unbalanced="0"/>
    <cacheHierarchy uniqueName="[Date].[EndOfMonthDate]" caption="EndOfMonthDate" attribute="1" time="1" defaultMemberUniqueName="[Date].[EndOfMonthDate].[All]" allUniqueName="[Date].[EndOfMonthDate].[All]" dimensionUniqueName="[Date]" displayFolder="" count="0" memberValueDatatype="7" unbalanced="0"/>
    <cacheHierarchy uniqueName="[P_L].[Account]" caption="Account" attribute="1" defaultMemberUniqueName="[P_L].[Account].[All]" allUniqueName="[P_L].[Account].[All]" dimensionUniqueName="[P_L]" displayFolder="" count="0" memberValueDatatype="5" unbalanced="0"/>
    <cacheHierarchy uniqueName="[P_L].[Type]" caption="Type" attribute="1" defaultMemberUniqueName="[P_L].[Type].[All]" allUniqueName="[P_L].[Type].[All]" dimensionUniqueName="[P_L]" displayFolder="" count="0" memberValueDatatype="130" unbalanced="0"/>
    <cacheHierarchy uniqueName="[P_L].[Type1]" caption="Type1" attribute="1" defaultMemberUniqueName="[P_L].[Type1].[All]" allUniqueName="[P_L].[Type1].[All]" dimensionUniqueName="[P_L]" displayFolder="" count="0" memberValueDatatype="130" unbalanced="0"/>
    <cacheHierarchy uniqueName="[P_L].[Name]" caption="Name" attribute="1" defaultMemberUniqueName="[P_L].[Name].[All]" allUniqueName="[P_L].[Name].[All]" dimensionUniqueName="[P_L]" displayFolder="" count="0" memberValueDatatype="130" unbalanced="0"/>
    <cacheHierarchy uniqueName="[P_L].[Key]" caption="Key" attribute="1" defaultMemberUniqueName="[P_L].[Key].[All]" allUniqueName="[P_L].[Key].[All]" dimensionUniqueName="[P_L]" displayFolder="" count="0" memberValueDatatype="130" unbalanced="0"/>
    <cacheHierarchy uniqueName="[Actuals1_1].[Period (indeks miesiąca)]" caption="Period (indeks miesiąca)" attribute="1" defaultMemberUniqueName="[Actuals1_1].[Period (indeks miesiąca)].[All]" allUniqueName="[Actuals1_1].[Period (indeks miesiąca)].[All]" dimensionUniqueName="[Actuals1_1]" displayFolder="" count="0" memberValueDatatype="20" unbalanced="0" hidden="1"/>
    <cacheHierarchy uniqueName="[Measures].[Suma Value]" caption="Suma Value" measure="1" displayFolder="" measureGroup="Actuals1_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Value 2]" caption="Suma Value 2" measure="1" displayFolder="" measureGroup="Budget2_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M %]" caption="MoM %" measure="1" displayFolder="" measureGroup="Actuals1_1" count="0"/>
    <cacheHierarchy uniqueName="[Measures].[Actuals]" caption="Actuals" measure="1" displayFolder="" measureGroup="Actuals1_1" count="0"/>
    <cacheHierarchy uniqueName="[Measures].[YoY %]" caption="YoY %" measure="1" displayFolder="" measureGroup="Actuals1_1" count="0"/>
    <cacheHierarchy uniqueName="[Measures].[Actuals MTD]" caption="Actuals MTD" measure="1" displayFolder="" measureGroup="Actuals1_1" count="0"/>
    <cacheHierarchy uniqueName="[Measures].[Actuals PY]" caption="Actuals PY" measure="1" displayFolder="" measureGroup="Actuals1_1" count="0"/>
    <cacheHierarchy uniqueName="[Measures].[Budget]" caption="Budget" measure="1" displayFolder="" measureGroup="Budget2_1" count="0"/>
    <cacheHierarchy uniqueName="[Measures].[Variance to Budget %]" caption="Variance to Budget %" measure="1" displayFolder="" measureGroup="Actuals1_1" count="0"/>
    <cacheHierarchy uniqueName="[Measures].[COGS PY]" caption="COGS PY" measure="1" displayFolder="" measureGroup="Actuals1_1" count="0"/>
    <cacheHierarchy uniqueName="[Measures].[COGS/COGS PY %]" caption="COGS/COGS PY %" measure="1" displayFolder="" measureGroup="Actuals1_1" count="0"/>
    <cacheHierarchy uniqueName="[Measures].[COGS Budget]" caption="COGS Budget" measure="1" displayFolder="" measureGroup="Budget2_1" count="0"/>
    <cacheHierarchy uniqueName="[Measures].[COGS/Budget %]" caption="COGS/Budget %" measure="1" displayFolder="" measureGroup="Actuals1_1" count="0"/>
    <cacheHierarchy uniqueName="[Measures].[Gross Profit Margin PY]" caption="Gross Profit Margin PY" measure="1" displayFolder="" measureGroup="Actuals1_1" count="0"/>
    <cacheHierarchy uniqueName="[Measures].[Gross Profit Margin Budget]" caption="Gross Profit Margin Budget" measure="1" displayFolder="" measureGroup="Actuals1_1" count="0"/>
    <cacheHierarchy uniqueName="[Measures].[Gross Profit Margin/Gross Profit Margin PY %]" caption="Gross Profit Margin/Gross Profit Margin PY %" measure="1" displayFolder="" measureGroup="Actuals1_1" count="0"/>
    <cacheHierarchy uniqueName="[Measures].[Gross Profit Margin/Gross Profit Margin Budget %]" caption="Gross Profit Margin/Gross Profit Margin Budget %" measure="1" displayFolder="" measureGroup="Actuals1_1" count="0"/>
    <cacheHierarchy uniqueName="[Measures].[EBITDA Margin PY]" caption="EBITDA Margin PY" measure="1" displayFolder="" measureGroup="Actuals1_1" count="0"/>
    <cacheHierarchy uniqueName="[Measures].[EBITDA Margin Budget]" caption="EBITDA Margin Budget" measure="1" displayFolder="" measureGroup="Actuals1_1" count="0"/>
    <cacheHierarchy uniqueName="[Measures].[EBITDA Margin / EBITDA Margin PY]" caption="EBITDA Margin / EBITDA Margin PY" measure="1" displayFolder="" measureGroup="Actuals1_1" count="0"/>
    <cacheHierarchy uniqueName="[Measures].[EBITDA Margin/EBITDA Margin Budget]" caption="EBITDA Margin/EBITDA Margin Budget" measure="1" displayFolder="" measureGroup="Actuals1_1" count="0"/>
    <cacheHierarchy uniqueName="[Measures].[COGS to Revenue PY]" caption="COGS to Revenue PY" measure="1" displayFolder="" measureGroup="Actuals1_1" count="0"/>
    <cacheHierarchy uniqueName="[Measures].[COGS to Revenue Budget]" caption="COGS to Revenue Budget" measure="1" displayFolder="" measureGroup="Actuals1_1" count="0"/>
    <cacheHierarchy uniqueName="[Measures].[COGS to Revenue / COGS to Revenue PY]" caption="COGS to Revenue / COGS to Revenue PY" measure="1" displayFolder="" measureGroup="Actuals1_1" count="0"/>
    <cacheHierarchy uniqueName="[Measures].[COGS to Revenue / COGS to Revenue Budget]" caption="COGS to Revenue / COGS to Revenue Budget" measure="1" displayFolder="" measureGroup="Actuals1_1" count="0"/>
    <cacheHierarchy uniqueName="[Measures].[COGS]" caption="COGS" measure="1" displayFolder="" measureGroup="Actuals1_1" count="0"/>
    <cacheHierarchy uniqueName="[Measures].[COGS1]" caption="COGS1" measure="1" displayFolder="" measureGroup="Actuals1_1" count="0"/>
    <cacheHierarchy uniqueName="[Measures].[Gross Profit Margin]" caption="Gross Profit Margin" measure="1" displayFolder="" measureGroup="Actuals1_1" count="0"/>
    <cacheHierarchy uniqueName="[Measures].[Gross Profit Margin 1]" caption="Gross Profit Margin 1" measure="1" displayFolder="" measureGroup="Actuals1_1" count="0"/>
    <cacheHierarchy uniqueName="[Measures].[EBITDA Margin]" caption="EBITDA Margin" measure="1" displayFolder="" measureGroup="Actuals1_1" count="0"/>
    <cacheHierarchy uniqueName="[Measures].[EBITDA Margin 1]" caption="EBITDA Margin 1" measure="1" displayFolder="" measureGroup="Actuals1_1" count="0"/>
    <cacheHierarchy uniqueName="[Measures].[COGS to Revenue]" caption="COGS to Revenue" measure="1" displayFolder="" measureGroup="Actuals1_1" count="0"/>
    <cacheHierarchy uniqueName="[Measures].[COGS to Revenue 1]" caption="COGS to Revenue 1" measure="1" displayFolder="" measureGroup="Actuals1_1" count="0"/>
    <cacheHierarchy uniqueName="[Measures].[__XL_Count Actuals1_1]" caption="__XL_Count Actuals1_1" measure="1" displayFolder="" measureGroup="Actuals1_1" count="0" hidden="1"/>
    <cacheHierarchy uniqueName="[Measures].[__XL_Count P_L]" caption="__XL_Count P_L" measure="1" displayFolder="" measureGroup="P_L" count="0" hidden="1"/>
    <cacheHierarchy uniqueName="[Measures].[__XL_Count Date]" caption="__XL_Count Date" measure="1" displayFolder="" measureGroup="Date" count="0" hidden="1"/>
    <cacheHierarchy uniqueName="[Measures].[__XL_Count Budget2_1]" caption="__XL_Count Budget2_1" measure="1" displayFolder="" measureGroup="Budget2_1" count="0" hidden="1"/>
    <cacheHierarchy uniqueName="[Measures].[__Nie zdefiniowano żadnych miar]" caption="__Nie zdefiniowano żadnych miar" measure="1" displayFolder="" count="0" hidden="1"/>
    <cacheHierarchy uniqueName="[Measures].[_COGS Goal]" caption="_COGS Goal" measure="1" displayFolder="" measureGroup="Actuals1_1" count="0" hidden="1"/>
    <cacheHierarchy uniqueName="[Measures].[_COGS Status]" caption="_COGS Status" measure="1" iconSet="11" displayFolder="" measureGroup="Actuals1_1" count="0" hidden="1"/>
    <cacheHierarchy uniqueName="[Measures].[_COGS1 Goal]" caption="_COGS1 Goal" measure="1" displayFolder="" measureGroup="Actuals1_1" count="0" hidden="1"/>
    <cacheHierarchy uniqueName="[Measures].[_COGS1 Status]" caption="_COGS1 Status" measure="1" iconSet="11" displayFolder="" measureGroup="Actuals1_1" count="0" hidden="1"/>
    <cacheHierarchy uniqueName="[Measures].[_Gross Profit Margin Goal]" caption="_Gross Profit Margin Goal" measure="1" displayFolder="" measureGroup="Actuals1_1" count="0" hidden="1"/>
    <cacheHierarchy uniqueName="[Measures].[_Gross Profit Margin Status]" caption="_Gross Profit Margin Status" measure="1" iconSet="11" displayFolder="" measureGroup="Actuals1_1" count="0" hidden="1"/>
    <cacheHierarchy uniqueName="[Measures].[_Gross Profit Margin 1 Goal]" caption="_Gross Profit Margin 1 Goal" measure="1" displayFolder="" measureGroup="Actuals1_1" count="0" hidden="1"/>
    <cacheHierarchy uniqueName="[Measures].[_Gross Profit Margin 1 Status]" caption="_Gross Profit Margin 1 Status" measure="1" iconSet="11" displayFolder="" measureGroup="Actuals1_1" count="0" hidden="1"/>
    <cacheHierarchy uniqueName="[Measures].[_EBITDA Margin Goal]" caption="_EBITDA Margin Goal" measure="1" displayFolder="" measureGroup="Actuals1_1" count="0" hidden="1"/>
    <cacheHierarchy uniqueName="[Measures].[_EBITDA Margin Status]" caption="_EBITDA Margin Status" measure="1" iconSet="11" displayFolder="" measureGroup="Actuals1_1" count="0" hidden="1"/>
    <cacheHierarchy uniqueName="[Measures].[_EBITDA Margin 1 Goal]" caption="_EBITDA Margin 1 Goal" measure="1" displayFolder="" measureGroup="Actuals1_1" count="0" hidden="1"/>
    <cacheHierarchy uniqueName="[Measures].[_EBITDA Margin 1 Status]" caption="_EBITDA Margin 1 Status" measure="1" iconSet="11" displayFolder="" measureGroup="Actuals1_1" count="0" hidden="1"/>
    <cacheHierarchy uniqueName="[Measures].[_COGS to Revenue Goal]" caption="_COGS to Revenue Goal" measure="1" displayFolder="" measureGroup="Actuals1_1" count="0" hidden="1"/>
    <cacheHierarchy uniqueName="[Measures].[_COGS to Revenue Status]" caption="_COGS to Revenue Status" measure="1" iconSet="11" displayFolder="" measureGroup="Actuals1_1" count="0" hidden="1"/>
    <cacheHierarchy uniqueName="[Measures].[_COGS to Revenue 1 Goal]" caption="_COGS to Revenue 1 Goal" measure="1" displayFolder="" measureGroup="Actuals1_1" count="0" hidden="1"/>
    <cacheHierarchy uniqueName="[Measures].[_COGS to Revenue 1 Status]" caption="_COGS to Revenue 1 Status" measure="1" iconSet="11" displayFolder="" measureGroup="Actuals1_1" count="0" hidden="1"/>
  </cacheHierarchies>
  <kpis count="8">
    <kpi uniqueName="COGS" caption="COGS" displayFolder="" measureGroup="Actuals1_1" parent="" value="[Measures].[COGS]" goal="[Measures].[_COGS Goal]" status="[Measures].[_COGS Status]" trend="" weight=""/>
    <kpi uniqueName="COGS1" caption="COGS1" displayFolder="" measureGroup="Actuals1_1" parent="" value="[Measures].[COGS1]" goal="[Measures].[_COGS1 Goal]" status="[Measures].[_COGS1 Status]" trend="" weight=""/>
    <kpi uniqueName="Gross Profit Margin" caption="Gross Profit Margin" displayFolder="" measureGroup="Actuals1_1" parent="" value="[Measures].[Gross Profit Margin]" goal="[Measures].[_Gross Profit Margin Goal]" status="[Measures].[_Gross Profit Margin Status]" trend="" weight=""/>
    <kpi uniqueName="Gross Profit Margin 1" caption="Gross Profit Margin 1" displayFolder="" measureGroup="Actuals1_1" parent="" value="[Measures].[Gross Profit Margin 1]" goal="[Measures].[_Gross Profit Margin 1 Goal]" status="[Measures].[_Gross Profit Margin 1 Status]" trend="" weight=""/>
    <kpi uniqueName="EBITDA Margin" caption="EBITDA Margin" displayFolder="" measureGroup="Actuals1_1" parent="" value="[Measures].[EBITDA Margin]" goal="[Measures].[_EBITDA Margin Goal]" status="[Measures].[_EBITDA Margin Status]" trend="" weight=""/>
    <kpi uniqueName="EBITDA Margin 1" caption="EBITDA Margin 1" displayFolder="" measureGroup="Actuals1_1" parent="" value="[Measures].[EBITDA Margin 1]" goal="[Measures].[_EBITDA Margin 1 Goal]" status="[Measures].[_EBITDA Margin 1 Status]" trend="" weight=""/>
    <kpi uniqueName="COGS to Revenue" caption="COGS to Revenue" displayFolder="" measureGroup="Actuals1_1" parent="" value="[Measures].[COGS to Revenue]" goal="[Measures].[_COGS to Revenue Goal]" status="[Measures].[_COGS to Revenue Status]" trend="" weight=""/>
    <kpi uniqueName="COGS to Revenue 1" caption="COGS to Revenue 1" displayFolder="" measureGroup="Actuals1_1" parent="" value="[Measures].[COGS to Revenue 1]" goal="[Measures].[_COGS to Revenue 1 Goal]" status="[Measures].[_COGS to Revenue 1 Status]" trend="" weight=""/>
  </kpis>
  <extLst>
    <ext xmlns:x14="http://schemas.microsoft.com/office/spreadsheetml/2009/9/main" uri="{725AE2AE-9491-48be-B2B4-4EB974FC3084}">
      <x14:pivotCacheDefinition pivotCacheId="135532312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 Kowalczyk" refreshedDate="46108.739044097223" backgroundQuery="1" createdVersion="3" refreshedVersion="8" minRefreshableVersion="3" recordCount="0" supportSubquery="1" supportAdvancedDrill="1" xr:uid="{2261354B-4F22-41E9-8F08-899DACCC9EAF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6">
    <cacheHierarchy uniqueName="[Actuals1_1].[Account]" caption="Account" attribute="1" defaultMemberUniqueName="[Actuals1_1].[Account].[All]" allUniqueName="[Actuals1_1].[Account].[All]" dimensionUniqueName="[Actuals1_1]" displayFolder="" count="0" memberValueDatatype="5" unbalanced="0"/>
    <cacheHierarchy uniqueName="[Actuals1_1].[Name]" caption="Name" attribute="1" defaultMemberUniqueName="[Actuals1_1].[Name].[All]" allUniqueName="[Actuals1_1].[Name].[All]" dimensionUniqueName="[Actuals1_1]" displayFolder="" count="0" memberValueDatatype="130" unbalanced="0"/>
    <cacheHierarchy uniqueName="[Actuals1_1].[Type]" caption="Type" attribute="1" defaultMemberUniqueName="[Actuals1_1].[Type].[All]" allUniqueName="[Actuals1_1].[Type].[All]" dimensionUniqueName="[Actuals1_1]" displayFolder="" count="0" memberValueDatatype="130" unbalanced="0"/>
    <cacheHierarchy uniqueName="[Actuals1_1].[Type1]" caption="Type1" attribute="1" defaultMemberUniqueName="[Actuals1_1].[Type1].[All]" allUniqueName="[Actuals1_1].[Type1].[All]" dimensionUniqueName="[Actuals1_1]" displayFolder="" count="0" memberValueDatatype="130" unbalanced="0"/>
    <cacheHierarchy uniqueName="[Actuals1_1].[Period]" caption="Period" attribute="1" time="1" defaultMemberUniqueName="[Actuals1_1].[Period].[All]" allUniqueName="[Actuals1_1].[Period].[All]" dimensionUniqueName="[Actuals1_1]" displayFolder="" count="0" memberValueDatatype="7" unbalanced="0"/>
    <cacheHierarchy uniqueName="[Actuals1_1].[Value]" caption="Value" attribute="1" defaultMemberUniqueName="[Actuals1_1].[Value].[All]" allUniqueName="[Actuals1_1].[Value].[All]" dimensionUniqueName="[Actuals1_1]" displayFolder="" count="0" memberValueDatatype="5" unbalanced="0"/>
    <cacheHierarchy uniqueName="[Actuals1_1].[Key]" caption="Key" attribute="1" defaultMemberUniqueName="[Actuals1_1].[Key].[All]" allUniqueName="[Actuals1_1].[Key].[All]" dimensionUniqueName="[Actuals1_1]" displayFolder="" count="0" memberValueDatatype="130" unbalanced="0"/>
    <cacheHierarchy uniqueName="[Actuals1_1].[Period (rok)]" caption="Period (rok)" attribute="1" defaultMemberUniqueName="[Actuals1_1].[Period (rok)].[All]" allUniqueName="[Actuals1_1].[Period (rok)].[All]" dimensionUniqueName="[Actuals1_1]" displayFolder="" count="0" memberValueDatatype="130" unbalanced="0"/>
    <cacheHierarchy uniqueName="[Actuals1_1].[Period (kwartał)]" caption="Period (kwartał)" attribute="1" defaultMemberUniqueName="[Actuals1_1].[Period (kwartał)].[All]" allUniqueName="[Actuals1_1].[Period (kwartał)].[All]" dimensionUniqueName="[Actuals1_1]" displayFolder="" count="0" memberValueDatatype="130" unbalanced="0"/>
    <cacheHierarchy uniqueName="[Actuals1_1].[Period (miesiąc)]" caption="Period (miesiąc)" attribute="1" defaultMemberUniqueName="[Actuals1_1].[Period (miesiąc)].[All]" allUniqueName="[Actuals1_1].[Period (miesiąc)].[All]" dimensionUniqueName="[Actuals1_1]" displayFolder="" count="0" memberValueDatatype="130" unbalanced="0"/>
    <cacheHierarchy uniqueName="[Budget2_1].[Type]" caption="Type" attribute="1" defaultMemberUniqueName="[Budget2_1].[Type].[All]" allUniqueName="[Budget2_1].[Type].[All]" dimensionUniqueName="[Budget2_1]" displayFolder="" count="0" memberValueDatatype="130" unbalanced="0"/>
    <cacheHierarchy uniqueName="[Budget2_1].[Type1]" caption="Type1" attribute="1" defaultMemberUniqueName="[Budget2_1].[Type1].[All]" allUniqueName="[Budget2_1].[Type1].[All]" dimensionUniqueName="[Budget2_1]" displayFolder="" count="0" memberValueDatatype="130" unbalanced="0"/>
    <cacheHierarchy uniqueName="[Budget2_1].[Name]" caption="Name" attribute="1" defaultMemberUniqueName="[Budget2_1].[Name].[All]" allUniqueName="[Budget2_1].[Name].[All]" dimensionUniqueName="[Budget2_1]" displayFolder="" count="0" memberValueDatatype="130" unbalanced="0"/>
    <cacheHierarchy uniqueName="[Budget2_1].[Period]" caption="Period" attribute="1" time="1" defaultMemberUniqueName="[Budget2_1].[Period].[All]" allUniqueName="[Budget2_1].[Period].[All]" dimensionUniqueName="[Budget2_1]" displayFolder="" count="0" memberValueDatatype="7" unbalanced="0"/>
    <cacheHierarchy uniqueName="[Budget2_1].[Value]" caption="Value" attribute="1" defaultMemberUniqueName="[Budget2_1].[Value].[All]" allUniqueName="[Budget2_1].[Value].[All]" dimensionUniqueName="[Budget2_1]" displayFolder="" count="0" memberValueDatatype="5" unbalanced="0"/>
    <cacheHierarchy uniqueName="[Budget2_1].[Key]" caption="Key" attribute="1" defaultMemberUniqueName="[Budget2_1].[Key].[All]" allUniqueName="[Budget2_1].[Key].[All]" dimensionUniqueName="[Budget2_1]" displayFolder="" count="0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2" memberValueDatatype="7" unbalanced="0"/>
    <cacheHierarchy uniqueName="[Date].[Year]" caption="Year" attribute="1" time="1" defaultMemberUniqueName="[Date].[Year].[All]" allUniqueName="[Date].[Year].[All]" dimensionUniqueName="[Date]" displayFolder="" count="0" memberValueDatatype="20" unbalanced="0"/>
    <cacheHierarchy uniqueName="[Date].[Month Number]" caption="Month Number" attribute="1" time="1" defaultMemberUniqueName="[Date].[Month Number].[All]" allUniqueName="[Date].[Month Number].[All]" dimensionUniqueName="[Date]" displayFolder="" count="0" memberValueDatatype="20" unbalanced="0"/>
    <cacheHierarchy uniqueName="[Date].[Hierarchia1]" caption="Hierarchia1" time="1" defaultMemberUniqueName="[Date].[Hierarchia1].[All]" allUniqueName="[Date].[Hierarchia1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ate].[Year-Month]" caption="Year-Month" attribute="1" time="1" defaultMemberUniqueName="[Date].[Year-Month].[All]" allUniqueName="[Date].[Year-Month].[All]" dimensionUniqueName="[Date]" displayFolder="" count="0" memberValueDatatype="130" unbalanced="0"/>
    <cacheHierarchy uniqueName="[Date].[Quarter]" caption="Quarter" attribute="1" time="1" defaultMemberUniqueName="[Date].[Quarter].[All]" allUniqueName="[Date].[Quarter].[All]" dimensionUniqueName="[Date]" displayFolder="" count="0" memberValueDatatype="130" unbalanced="0"/>
    <cacheHierarchy uniqueName="[Date].[Day]" caption="Day" attribute="1" time="1" defaultMemberUniqueName="[Date].[Day].[All]" allUniqueName="[Date].[Day].[All]" dimensionUniqueName="[Date]" displayFolder="" count="0" memberValueDatatype="20" unbalanced="0"/>
    <cacheHierarchy uniqueName="[Date].[Month short]" caption="Month short" attribute="1" time="1" defaultMemberUniqueName="[Date].[Month short].[All]" allUniqueName="[Date].[Month short].[All]" dimensionUniqueName="[Date]" displayFolder="" count="0" memberValueDatatype="130" unbalanced="0"/>
    <cacheHierarchy uniqueName="[Date].[EndOfMonthDate]" caption="EndOfMonthDate" attribute="1" time="1" defaultMemberUniqueName="[Date].[EndOfMonthDate].[All]" allUniqueName="[Date].[EndOfMonthDate].[All]" dimensionUniqueName="[Date]" displayFolder="" count="0" memberValueDatatype="7" unbalanced="0"/>
    <cacheHierarchy uniqueName="[P_L].[Account]" caption="Account" attribute="1" defaultMemberUniqueName="[P_L].[Account].[All]" allUniqueName="[P_L].[Account].[All]" dimensionUniqueName="[P_L]" displayFolder="" count="0" memberValueDatatype="5" unbalanced="0"/>
    <cacheHierarchy uniqueName="[P_L].[Type]" caption="Type" attribute="1" defaultMemberUniqueName="[P_L].[Type].[All]" allUniqueName="[P_L].[Type].[All]" dimensionUniqueName="[P_L]" displayFolder="" count="0" memberValueDatatype="130" unbalanced="0"/>
    <cacheHierarchy uniqueName="[P_L].[Type1]" caption="Type1" attribute="1" defaultMemberUniqueName="[P_L].[Type1].[All]" allUniqueName="[P_L].[Type1].[All]" dimensionUniqueName="[P_L]" displayFolder="" count="0" memberValueDatatype="130" unbalanced="0"/>
    <cacheHierarchy uniqueName="[P_L].[Name]" caption="Name" attribute="1" defaultMemberUniqueName="[P_L].[Name].[All]" allUniqueName="[P_L].[Name].[All]" dimensionUniqueName="[P_L]" displayFolder="" count="0" memberValueDatatype="130" unbalanced="0"/>
    <cacheHierarchy uniqueName="[P_L].[Key]" caption="Key" attribute="1" defaultMemberUniqueName="[P_L].[Key].[All]" allUniqueName="[P_L].[Key].[All]" dimensionUniqueName="[P_L]" displayFolder="" count="0" memberValueDatatype="130" unbalanced="0"/>
    <cacheHierarchy uniqueName="[Actuals1_1].[Period (indeks miesiąca)]" caption="Period (indeks miesiąca)" attribute="1" defaultMemberUniqueName="[Actuals1_1].[Period (indeks miesiąca)].[All]" allUniqueName="[Actuals1_1].[Period (indeks miesiąca)].[All]" dimensionUniqueName="[Actuals1_1]" displayFolder="" count="0" memberValueDatatype="20" unbalanced="0" hidden="1"/>
    <cacheHierarchy uniqueName="[Measures].[Suma Value]" caption="Suma Value" measure="1" displayFolder="" measureGroup="Actuals1_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Value 2]" caption="Suma Value 2" measure="1" displayFolder="" measureGroup="Budget2_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M %]" caption="MoM %" measure="1" displayFolder="" measureGroup="Actuals1_1" count="0"/>
    <cacheHierarchy uniqueName="[Measures].[Actuals]" caption="Actuals" measure="1" displayFolder="" measureGroup="Actuals1_1" count="0"/>
    <cacheHierarchy uniqueName="[Measures].[YoY %]" caption="YoY %" measure="1" displayFolder="" measureGroup="Actuals1_1" count="0"/>
    <cacheHierarchy uniqueName="[Measures].[Actuals MTD]" caption="Actuals MTD" measure="1" displayFolder="" measureGroup="Actuals1_1" count="0"/>
    <cacheHierarchy uniqueName="[Measures].[Actuals PY]" caption="Actuals PY" measure="1" displayFolder="" measureGroup="Actuals1_1" count="0"/>
    <cacheHierarchy uniqueName="[Measures].[Budget]" caption="Budget" measure="1" displayFolder="" measureGroup="Budget2_1" count="0"/>
    <cacheHierarchy uniqueName="[Measures].[Variance to Budget %]" caption="Variance to Budget %" measure="1" displayFolder="" measureGroup="Actuals1_1" count="0"/>
    <cacheHierarchy uniqueName="[Measures].[COGS PY]" caption="COGS PY" measure="1" displayFolder="" measureGroup="Actuals1_1" count="0"/>
    <cacheHierarchy uniqueName="[Measures].[COGS/COGS PY %]" caption="COGS/COGS PY %" measure="1" displayFolder="" measureGroup="Actuals1_1" count="0"/>
    <cacheHierarchy uniqueName="[Measures].[COGS Budget]" caption="COGS Budget" measure="1" displayFolder="" measureGroup="Budget2_1" count="0"/>
    <cacheHierarchy uniqueName="[Measures].[COGS/Budget %]" caption="COGS/Budget %" measure="1" displayFolder="" measureGroup="Actuals1_1" count="0"/>
    <cacheHierarchy uniqueName="[Measures].[Gross Profit Margin PY]" caption="Gross Profit Margin PY" measure="1" displayFolder="" measureGroup="Actuals1_1" count="0"/>
    <cacheHierarchy uniqueName="[Measures].[Gross Profit Margin Budget]" caption="Gross Profit Margin Budget" measure="1" displayFolder="" measureGroup="Actuals1_1" count="0"/>
    <cacheHierarchy uniqueName="[Measures].[Gross Profit Margin/Gross Profit Margin PY %]" caption="Gross Profit Margin/Gross Profit Margin PY %" measure="1" displayFolder="" measureGroup="Actuals1_1" count="0"/>
    <cacheHierarchy uniqueName="[Measures].[Gross Profit Margin/Gross Profit Margin Budget %]" caption="Gross Profit Margin/Gross Profit Margin Budget %" measure="1" displayFolder="" measureGroup="Actuals1_1" count="0"/>
    <cacheHierarchy uniqueName="[Measures].[EBITDA Margin PY]" caption="EBITDA Margin PY" measure="1" displayFolder="" measureGroup="Actuals1_1" count="0"/>
    <cacheHierarchy uniqueName="[Measures].[EBITDA Margin Budget]" caption="EBITDA Margin Budget" measure="1" displayFolder="" measureGroup="Actuals1_1" count="0"/>
    <cacheHierarchy uniqueName="[Measures].[EBITDA Margin / EBITDA Margin PY]" caption="EBITDA Margin / EBITDA Margin PY" measure="1" displayFolder="" measureGroup="Actuals1_1" count="0"/>
    <cacheHierarchy uniqueName="[Measures].[EBITDA Margin/EBITDA Margin Budget]" caption="EBITDA Margin/EBITDA Margin Budget" measure="1" displayFolder="" measureGroup="Actuals1_1" count="0"/>
    <cacheHierarchy uniqueName="[Measures].[COGS to Revenue PY]" caption="COGS to Revenue PY" measure="1" displayFolder="" measureGroup="Actuals1_1" count="0"/>
    <cacheHierarchy uniqueName="[Measures].[COGS to Revenue Budget]" caption="COGS to Revenue Budget" measure="1" displayFolder="" measureGroup="Actuals1_1" count="0"/>
    <cacheHierarchy uniqueName="[Measures].[COGS to Revenue / COGS to Revenue PY]" caption="COGS to Revenue / COGS to Revenue PY" measure="1" displayFolder="" measureGroup="Actuals1_1" count="0"/>
    <cacheHierarchy uniqueName="[Measures].[COGS to Revenue / COGS to Revenue Budget]" caption="COGS to Revenue / COGS to Revenue Budget" measure="1" displayFolder="" measureGroup="Actuals1_1" count="0"/>
    <cacheHierarchy uniqueName="[Measures].[COGS]" caption="COGS" measure="1" displayFolder="" measureGroup="Actuals1_1" count="0"/>
    <cacheHierarchy uniqueName="[Measures].[COGS1]" caption="COGS1" measure="1" displayFolder="" measureGroup="Actuals1_1" count="0"/>
    <cacheHierarchy uniqueName="[Measures].[Gross Profit Margin]" caption="Gross Profit Margin" measure="1" displayFolder="" measureGroup="Actuals1_1" count="0"/>
    <cacheHierarchy uniqueName="[Measures].[Gross Profit Margin 1]" caption="Gross Profit Margin 1" measure="1" displayFolder="" measureGroup="Actuals1_1" count="0"/>
    <cacheHierarchy uniqueName="[Measures].[EBITDA Margin]" caption="EBITDA Margin" measure="1" displayFolder="" measureGroup="Actuals1_1" count="0"/>
    <cacheHierarchy uniqueName="[Measures].[EBITDA Margin 1]" caption="EBITDA Margin 1" measure="1" displayFolder="" measureGroup="Actuals1_1" count="0"/>
    <cacheHierarchy uniqueName="[Measures].[COGS to Revenue]" caption="COGS to Revenue" measure="1" displayFolder="" measureGroup="Actuals1_1" count="0"/>
    <cacheHierarchy uniqueName="[Measures].[COGS to Revenue 1]" caption="COGS to Revenue 1" measure="1" displayFolder="" measureGroup="Actuals1_1" count="0"/>
    <cacheHierarchy uniqueName="[Measures].[__XL_Count Actuals1_1]" caption="__XL_Count Actuals1_1" measure="1" displayFolder="" measureGroup="Actuals1_1" count="0" hidden="1"/>
    <cacheHierarchy uniqueName="[Measures].[__XL_Count P_L]" caption="__XL_Count P_L" measure="1" displayFolder="" measureGroup="P_L" count="0" hidden="1"/>
    <cacheHierarchy uniqueName="[Measures].[__XL_Count Date]" caption="__XL_Count Date" measure="1" displayFolder="" measureGroup="Date" count="0" hidden="1"/>
    <cacheHierarchy uniqueName="[Measures].[__XL_Count Budget2_1]" caption="__XL_Count Budget2_1" measure="1" displayFolder="" measureGroup="Budget2_1" count="0" hidden="1"/>
    <cacheHierarchy uniqueName="[Measures].[__Nie zdefiniowano żadnych miar]" caption="__Nie zdefiniowano żadnych miar" measure="1" displayFolder="" count="0" hidden="1"/>
    <cacheHierarchy uniqueName="[Measures].[_COGS Goal]" caption="_COGS Goal" measure="1" displayFolder="" measureGroup="Actuals1_1" count="0" hidden="1"/>
    <cacheHierarchy uniqueName="[Measures].[_COGS Status]" caption="_COGS Status" measure="1" iconSet="11" displayFolder="" measureGroup="Actuals1_1" count="0" hidden="1"/>
    <cacheHierarchy uniqueName="[Measures].[_COGS1 Goal]" caption="_COGS1 Goal" measure="1" displayFolder="" measureGroup="Actuals1_1" count="0" hidden="1"/>
    <cacheHierarchy uniqueName="[Measures].[_COGS1 Status]" caption="_COGS1 Status" measure="1" iconSet="11" displayFolder="" measureGroup="Actuals1_1" count="0" hidden="1"/>
    <cacheHierarchy uniqueName="[Measures].[_Gross Profit Margin Goal]" caption="_Gross Profit Margin Goal" measure="1" displayFolder="" measureGroup="Actuals1_1" count="0" hidden="1"/>
    <cacheHierarchy uniqueName="[Measures].[_Gross Profit Margin Status]" caption="_Gross Profit Margin Status" measure="1" iconSet="11" displayFolder="" measureGroup="Actuals1_1" count="0" hidden="1"/>
    <cacheHierarchy uniqueName="[Measures].[_Gross Profit Margin 1 Goal]" caption="_Gross Profit Margin 1 Goal" measure="1" displayFolder="" measureGroup="Actuals1_1" count="0" hidden="1"/>
    <cacheHierarchy uniqueName="[Measures].[_Gross Profit Margin 1 Status]" caption="_Gross Profit Margin 1 Status" measure="1" iconSet="11" displayFolder="" measureGroup="Actuals1_1" count="0" hidden="1"/>
    <cacheHierarchy uniqueName="[Measures].[_EBITDA Margin Goal]" caption="_EBITDA Margin Goal" measure="1" displayFolder="" measureGroup="Actuals1_1" count="0" hidden="1"/>
    <cacheHierarchy uniqueName="[Measures].[_EBITDA Margin Status]" caption="_EBITDA Margin Status" measure="1" iconSet="11" displayFolder="" measureGroup="Actuals1_1" count="0" hidden="1"/>
    <cacheHierarchy uniqueName="[Measures].[_EBITDA Margin 1 Goal]" caption="_EBITDA Margin 1 Goal" measure="1" displayFolder="" measureGroup="Actuals1_1" count="0" hidden="1"/>
    <cacheHierarchy uniqueName="[Measures].[_EBITDA Margin 1 Status]" caption="_EBITDA Margin 1 Status" measure="1" iconSet="11" displayFolder="" measureGroup="Actuals1_1" count="0" hidden="1"/>
    <cacheHierarchy uniqueName="[Measures].[_COGS to Revenue Goal]" caption="_COGS to Revenue Goal" measure="1" displayFolder="" measureGroup="Actuals1_1" count="0" hidden="1"/>
    <cacheHierarchy uniqueName="[Measures].[_COGS to Revenue Status]" caption="_COGS to Revenue Status" measure="1" iconSet="11" displayFolder="" measureGroup="Actuals1_1" count="0" hidden="1"/>
    <cacheHierarchy uniqueName="[Measures].[_COGS to Revenue 1 Goal]" caption="_COGS to Revenue 1 Goal" measure="1" displayFolder="" measureGroup="Actuals1_1" count="0" hidden="1"/>
    <cacheHierarchy uniqueName="[Measures].[_COGS to Revenue 1 Status]" caption="_COGS to Revenue 1 Status" measure="1" iconSet="11" displayFolder="" measureGroup="Actuals1_1" count="0" hidden="1"/>
  </cacheHierarchies>
  <kpis count="8">
    <kpi uniqueName="COGS" caption="COGS" displayFolder="" measureGroup="Actuals1_1" parent="" value="[Measures].[COGS]" goal="[Measures].[_COGS Goal]" status="[Measures].[_COGS Status]" trend="" weight=""/>
    <kpi uniqueName="COGS1" caption="COGS1" displayFolder="" measureGroup="Actuals1_1" parent="" value="[Measures].[COGS1]" goal="[Measures].[_COGS1 Goal]" status="[Measures].[_COGS1 Status]" trend="" weight=""/>
    <kpi uniqueName="Gross Profit Margin" caption="Gross Profit Margin" displayFolder="" measureGroup="Actuals1_1" parent="" value="[Measures].[Gross Profit Margin]" goal="[Measures].[_Gross Profit Margin Goal]" status="[Measures].[_Gross Profit Margin Status]" trend="" weight=""/>
    <kpi uniqueName="Gross Profit Margin 1" caption="Gross Profit Margin 1" displayFolder="" measureGroup="Actuals1_1" parent="" value="[Measures].[Gross Profit Margin 1]" goal="[Measures].[_Gross Profit Margin 1 Goal]" status="[Measures].[_Gross Profit Margin 1 Status]" trend="" weight=""/>
    <kpi uniqueName="EBITDA Margin" caption="EBITDA Margin" displayFolder="" measureGroup="Actuals1_1" parent="" value="[Measures].[EBITDA Margin]" goal="[Measures].[_EBITDA Margin Goal]" status="[Measures].[_EBITDA Margin Status]" trend="" weight=""/>
    <kpi uniqueName="EBITDA Margin 1" caption="EBITDA Margin 1" displayFolder="" measureGroup="Actuals1_1" parent="" value="[Measures].[EBITDA Margin 1]" goal="[Measures].[_EBITDA Margin 1 Goal]" status="[Measures].[_EBITDA Margin 1 Status]" trend="" weight=""/>
    <kpi uniqueName="COGS to Revenue" caption="COGS to Revenue" displayFolder="" measureGroup="Actuals1_1" parent="" value="[Measures].[COGS to Revenue]" goal="[Measures].[_COGS to Revenue Goal]" status="[Measures].[_COGS to Revenue Status]" trend="" weight=""/>
    <kpi uniqueName="COGS to Revenue 1" caption="COGS to Revenue 1" displayFolder="" measureGroup="Actuals1_1" parent="" value="[Measures].[COGS to Revenue 1]" goal="[Measures].[_COGS to Revenue 1 Goal]" status="[Measures].[_COGS to Revenue 1 Status]" trend="" weight=""/>
  </kpis>
  <extLst>
    <ext xmlns:x14="http://schemas.microsoft.com/office/spreadsheetml/2009/9/main" uri="{725AE2AE-9491-48be-B2B4-4EB974FC3084}">
      <x14:pivotCacheDefinition pivotCacheId="40425459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 Kowalczyk" refreshedDate="46108.739050231481" backgroundQuery="1" createdVersion="3" refreshedVersion="8" minRefreshableVersion="3" recordCount="0" supportSubquery="1" supportAdvancedDrill="1" xr:uid="{0DD2ABFA-1957-47F5-BEAE-67CEE7D4748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6">
    <cacheHierarchy uniqueName="[Actuals1_1].[Account]" caption="Account" attribute="1" defaultMemberUniqueName="[Actuals1_1].[Account].[All]" allUniqueName="[Actuals1_1].[Account].[All]" dimensionUniqueName="[Actuals1_1]" displayFolder="" count="0" memberValueDatatype="5" unbalanced="0"/>
    <cacheHierarchy uniqueName="[Actuals1_1].[Name]" caption="Name" attribute="1" defaultMemberUniqueName="[Actuals1_1].[Name].[All]" allUniqueName="[Actuals1_1].[Name].[All]" dimensionUniqueName="[Actuals1_1]" displayFolder="" count="0" memberValueDatatype="130" unbalanced="0"/>
    <cacheHierarchy uniqueName="[Actuals1_1].[Type]" caption="Type" attribute="1" defaultMemberUniqueName="[Actuals1_1].[Type].[All]" allUniqueName="[Actuals1_1].[Type].[All]" dimensionUniqueName="[Actuals1_1]" displayFolder="" count="0" memberValueDatatype="130" unbalanced="0"/>
    <cacheHierarchy uniqueName="[Actuals1_1].[Type1]" caption="Type1" attribute="1" defaultMemberUniqueName="[Actuals1_1].[Type1].[All]" allUniqueName="[Actuals1_1].[Type1].[All]" dimensionUniqueName="[Actuals1_1]" displayFolder="" count="0" memberValueDatatype="130" unbalanced="0"/>
    <cacheHierarchy uniqueName="[Actuals1_1].[Period]" caption="Period" attribute="1" time="1" defaultMemberUniqueName="[Actuals1_1].[Period].[All]" allUniqueName="[Actuals1_1].[Period].[All]" dimensionUniqueName="[Actuals1_1]" displayFolder="" count="0" memberValueDatatype="7" unbalanced="0"/>
    <cacheHierarchy uniqueName="[Actuals1_1].[Value]" caption="Value" attribute="1" defaultMemberUniqueName="[Actuals1_1].[Value].[All]" allUniqueName="[Actuals1_1].[Value].[All]" dimensionUniqueName="[Actuals1_1]" displayFolder="" count="0" memberValueDatatype="5" unbalanced="0"/>
    <cacheHierarchy uniqueName="[Actuals1_1].[Key]" caption="Key" attribute="1" defaultMemberUniqueName="[Actuals1_1].[Key].[All]" allUniqueName="[Actuals1_1].[Key].[All]" dimensionUniqueName="[Actuals1_1]" displayFolder="" count="0" memberValueDatatype="130" unbalanced="0"/>
    <cacheHierarchy uniqueName="[Actuals1_1].[Period (rok)]" caption="Period (rok)" attribute="1" defaultMemberUniqueName="[Actuals1_1].[Period (rok)].[All]" allUniqueName="[Actuals1_1].[Period (rok)].[All]" dimensionUniqueName="[Actuals1_1]" displayFolder="" count="0" memberValueDatatype="130" unbalanced="0"/>
    <cacheHierarchy uniqueName="[Actuals1_1].[Period (kwartał)]" caption="Period (kwartał)" attribute="1" defaultMemberUniqueName="[Actuals1_1].[Period (kwartał)].[All]" allUniqueName="[Actuals1_1].[Period (kwartał)].[All]" dimensionUniqueName="[Actuals1_1]" displayFolder="" count="0" memberValueDatatype="130" unbalanced="0"/>
    <cacheHierarchy uniqueName="[Actuals1_1].[Period (miesiąc)]" caption="Period (miesiąc)" attribute="1" defaultMemberUniqueName="[Actuals1_1].[Period (miesiąc)].[All]" allUniqueName="[Actuals1_1].[Period (miesiąc)].[All]" dimensionUniqueName="[Actuals1_1]" displayFolder="" count="0" memberValueDatatype="130" unbalanced="0"/>
    <cacheHierarchy uniqueName="[Budget2_1].[Type]" caption="Type" attribute="1" defaultMemberUniqueName="[Budget2_1].[Type].[All]" allUniqueName="[Budget2_1].[Type].[All]" dimensionUniqueName="[Budget2_1]" displayFolder="" count="0" memberValueDatatype="130" unbalanced="0"/>
    <cacheHierarchy uniqueName="[Budget2_1].[Type1]" caption="Type1" attribute="1" defaultMemberUniqueName="[Budget2_1].[Type1].[All]" allUniqueName="[Budget2_1].[Type1].[All]" dimensionUniqueName="[Budget2_1]" displayFolder="" count="0" memberValueDatatype="130" unbalanced="0"/>
    <cacheHierarchy uniqueName="[Budget2_1].[Name]" caption="Name" attribute="1" defaultMemberUniqueName="[Budget2_1].[Name].[All]" allUniqueName="[Budget2_1].[Name].[All]" dimensionUniqueName="[Budget2_1]" displayFolder="" count="0" memberValueDatatype="130" unbalanced="0"/>
    <cacheHierarchy uniqueName="[Budget2_1].[Period]" caption="Period" attribute="1" time="1" defaultMemberUniqueName="[Budget2_1].[Period].[All]" allUniqueName="[Budget2_1].[Period].[All]" dimensionUniqueName="[Budget2_1]" displayFolder="" count="0" memberValueDatatype="7" unbalanced="0"/>
    <cacheHierarchy uniqueName="[Budget2_1].[Value]" caption="Value" attribute="1" defaultMemberUniqueName="[Budget2_1].[Value].[All]" allUniqueName="[Budget2_1].[Value].[All]" dimensionUniqueName="[Budget2_1]" displayFolder="" count="0" memberValueDatatype="5" unbalanced="0"/>
    <cacheHierarchy uniqueName="[Budget2_1].[Key]" caption="Key" attribute="1" defaultMemberUniqueName="[Budget2_1].[Key].[All]" allUniqueName="[Budget2_1].[Key].[All]" dimensionUniqueName="[Budget2_1]" displayFolder="" count="0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2" memberValueDatatype="7" unbalanced="0"/>
    <cacheHierarchy uniqueName="[Date].[Year]" caption="Year" attribute="1" time="1" defaultMemberUniqueName="[Date].[Year].[All]" allUniqueName="[Date].[Year].[All]" dimensionUniqueName="[Date]" displayFolder="" count="0" memberValueDatatype="20" unbalanced="0"/>
    <cacheHierarchy uniqueName="[Date].[Month Number]" caption="Month Number" attribute="1" time="1" defaultMemberUniqueName="[Date].[Month Number].[All]" allUniqueName="[Date].[Month Number].[All]" dimensionUniqueName="[Date]" displayFolder="" count="0" memberValueDatatype="20" unbalanced="0"/>
    <cacheHierarchy uniqueName="[Date].[Hierarchia1]" caption="Hierarchia1" time="1" defaultMemberUniqueName="[Date].[Hierarchia1].[All]" allUniqueName="[Date].[Hierarchia1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ate].[Year-Month]" caption="Year-Month" attribute="1" time="1" defaultMemberUniqueName="[Date].[Year-Month].[All]" allUniqueName="[Date].[Year-Month].[All]" dimensionUniqueName="[Date]" displayFolder="" count="0" memberValueDatatype="130" unbalanced="0"/>
    <cacheHierarchy uniqueName="[Date].[Quarter]" caption="Quarter" attribute="1" time="1" defaultMemberUniqueName="[Date].[Quarter].[All]" allUniqueName="[Date].[Quarter].[All]" dimensionUniqueName="[Date]" displayFolder="" count="0" memberValueDatatype="130" unbalanced="0"/>
    <cacheHierarchy uniqueName="[Date].[Day]" caption="Day" attribute="1" time="1" defaultMemberUniqueName="[Date].[Day].[All]" allUniqueName="[Date].[Day].[All]" dimensionUniqueName="[Date]" displayFolder="" count="0" memberValueDatatype="20" unbalanced="0"/>
    <cacheHierarchy uniqueName="[Date].[Month short]" caption="Month short" attribute="1" time="1" defaultMemberUniqueName="[Date].[Month short].[All]" allUniqueName="[Date].[Month short].[All]" dimensionUniqueName="[Date]" displayFolder="" count="0" memberValueDatatype="130" unbalanced="0"/>
    <cacheHierarchy uniqueName="[Date].[EndOfMonthDate]" caption="EndOfMonthDate" attribute="1" time="1" defaultMemberUniqueName="[Date].[EndOfMonthDate].[All]" allUniqueName="[Date].[EndOfMonthDate].[All]" dimensionUniqueName="[Date]" displayFolder="" count="0" memberValueDatatype="7" unbalanced="0"/>
    <cacheHierarchy uniqueName="[P_L].[Account]" caption="Account" attribute="1" defaultMemberUniqueName="[P_L].[Account].[All]" allUniqueName="[P_L].[Account].[All]" dimensionUniqueName="[P_L]" displayFolder="" count="0" memberValueDatatype="5" unbalanced="0"/>
    <cacheHierarchy uniqueName="[P_L].[Type]" caption="Type" attribute="1" defaultMemberUniqueName="[P_L].[Type].[All]" allUniqueName="[P_L].[Type].[All]" dimensionUniqueName="[P_L]" displayFolder="" count="0" memberValueDatatype="130" unbalanced="0"/>
    <cacheHierarchy uniqueName="[P_L].[Type1]" caption="Type1" attribute="1" defaultMemberUniqueName="[P_L].[Type1].[All]" allUniqueName="[P_L].[Type1].[All]" dimensionUniqueName="[P_L]" displayFolder="" count="0" memberValueDatatype="130" unbalanced="0"/>
    <cacheHierarchy uniqueName="[P_L].[Name]" caption="Name" attribute="1" defaultMemberUniqueName="[P_L].[Name].[All]" allUniqueName="[P_L].[Name].[All]" dimensionUniqueName="[P_L]" displayFolder="" count="0" memberValueDatatype="130" unbalanced="0"/>
    <cacheHierarchy uniqueName="[P_L].[Key]" caption="Key" attribute="1" defaultMemberUniqueName="[P_L].[Key].[All]" allUniqueName="[P_L].[Key].[All]" dimensionUniqueName="[P_L]" displayFolder="" count="0" memberValueDatatype="130" unbalanced="0"/>
    <cacheHierarchy uniqueName="[Actuals1_1].[Period (indeks miesiąca)]" caption="Period (indeks miesiąca)" attribute="1" defaultMemberUniqueName="[Actuals1_1].[Period (indeks miesiąca)].[All]" allUniqueName="[Actuals1_1].[Period (indeks miesiąca)].[All]" dimensionUniqueName="[Actuals1_1]" displayFolder="" count="0" memberValueDatatype="20" unbalanced="0" hidden="1"/>
    <cacheHierarchy uniqueName="[Measures].[Suma Value]" caption="Suma Value" measure="1" displayFolder="" measureGroup="Actuals1_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Value 2]" caption="Suma Value 2" measure="1" displayFolder="" measureGroup="Budget2_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M %]" caption="MoM %" measure="1" displayFolder="" measureGroup="Actuals1_1" count="0"/>
    <cacheHierarchy uniqueName="[Measures].[Actuals]" caption="Actuals" measure="1" displayFolder="" measureGroup="Actuals1_1" count="0"/>
    <cacheHierarchy uniqueName="[Measures].[YoY %]" caption="YoY %" measure="1" displayFolder="" measureGroup="Actuals1_1" count="0"/>
    <cacheHierarchy uniqueName="[Measures].[Actuals MTD]" caption="Actuals MTD" measure="1" displayFolder="" measureGroup="Actuals1_1" count="0"/>
    <cacheHierarchy uniqueName="[Measures].[Actuals PY]" caption="Actuals PY" measure="1" displayFolder="" measureGroup="Actuals1_1" count="0"/>
    <cacheHierarchy uniqueName="[Measures].[Budget]" caption="Budget" measure="1" displayFolder="" measureGroup="Budget2_1" count="0"/>
    <cacheHierarchy uniqueName="[Measures].[Variance to Budget %]" caption="Variance to Budget %" measure="1" displayFolder="" measureGroup="Actuals1_1" count="0"/>
    <cacheHierarchy uniqueName="[Measures].[COGS PY]" caption="COGS PY" measure="1" displayFolder="" measureGroup="Actuals1_1" count="0"/>
    <cacheHierarchy uniqueName="[Measures].[COGS/COGS PY %]" caption="COGS/COGS PY %" measure="1" displayFolder="" measureGroup="Actuals1_1" count="0"/>
    <cacheHierarchy uniqueName="[Measures].[COGS Budget]" caption="COGS Budget" measure="1" displayFolder="" measureGroup="Budget2_1" count="0"/>
    <cacheHierarchy uniqueName="[Measures].[COGS/Budget %]" caption="COGS/Budget %" measure="1" displayFolder="" measureGroup="Actuals1_1" count="0"/>
    <cacheHierarchy uniqueName="[Measures].[Gross Profit Margin PY]" caption="Gross Profit Margin PY" measure="1" displayFolder="" measureGroup="Actuals1_1" count="0"/>
    <cacheHierarchy uniqueName="[Measures].[Gross Profit Margin Budget]" caption="Gross Profit Margin Budget" measure="1" displayFolder="" measureGroup="Actuals1_1" count="0"/>
    <cacheHierarchy uniqueName="[Measures].[Gross Profit Margin/Gross Profit Margin PY %]" caption="Gross Profit Margin/Gross Profit Margin PY %" measure="1" displayFolder="" measureGroup="Actuals1_1" count="0"/>
    <cacheHierarchy uniqueName="[Measures].[Gross Profit Margin/Gross Profit Margin Budget %]" caption="Gross Profit Margin/Gross Profit Margin Budget %" measure="1" displayFolder="" measureGroup="Actuals1_1" count="0"/>
    <cacheHierarchy uniqueName="[Measures].[EBITDA Margin PY]" caption="EBITDA Margin PY" measure="1" displayFolder="" measureGroup="Actuals1_1" count="0"/>
    <cacheHierarchy uniqueName="[Measures].[EBITDA Margin Budget]" caption="EBITDA Margin Budget" measure="1" displayFolder="" measureGroup="Actuals1_1" count="0"/>
    <cacheHierarchy uniqueName="[Measures].[EBITDA Margin / EBITDA Margin PY]" caption="EBITDA Margin / EBITDA Margin PY" measure="1" displayFolder="" measureGroup="Actuals1_1" count="0"/>
    <cacheHierarchy uniqueName="[Measures].[EBITDA Margin/EBITDA Margin Budget]" caption="EBITDA Margin/EBITDA Margin Budget" measure="1" displayFolder="" measureGroup="Actuals1_1" count="0"/>
    <cacheHierarchy uniqueName="[Measures].[COGS to Revenue PY]" caption="COGS to Revenue PY" measure="1" displayFolder="" measureGroup="Actuals1_1" count="0"/>
    <cacheHierarchy uniqueName="[Measures].[COGS to Revenue Budget]" caption="COGS to Revenue Budget" measure="1" displayFolder="" measureGroup="Actuals1_1" count="0"/>
    <cacheHierarchy uniqueName="[Measures].[COGS to Revenue / COGS to Revenue PY]" caption="COGS to Revenue / COGS to Revenue PY" measure="1" displayFolder="" measureGroup="Actuals1_1" count="0"/>
    <cacheHierarchy uniqueName="[Measures].[COGS to Revenue / COGS to Revenue Budget]" caption="COGS to Revenue / COGS to Revenue Budget" measure="1" displayFolder="" measureGroup="Actuals1_1" count="0"/>
    <cacheHierarchy uniqueName="[Measures].[COGS]" caption="COGS" measure="1" displayFolder="" measureGroup="Actuals1_1" count="0"/>
    <cacheHierarchy uniqueName="[Measures].[COGS1]" caption="COGS1" measure="1" displayFolder="" measureGroup="Actuals1_1" count="0"/>
    <cacheHierarchy uniqueName="[Measures].[Gross Profit Margin]" caption="Gross Profit Margin" measure="1" displayFolder="" measureGroup="Actuals1_1" count="0"/>
    <cacheHierarchy uniqueName="[Measures].[Gross Profit Margin 1]" caption="Gross Profit Margin 1" measure="1" displayFolder="" measureGroup="Actuals1_1" count="0"/>
    <cacheHierarchy uniqueName="[Measures].[EBITDA Margin]" caption="EBITDA Margin" measure="1" displayFolder="" measureGroup="Actuals1_1" count="0"/>
    <cacheHierarchy uniqueName="[Measures].[EBITDA Margin 1]" caption="EBITDA Margin 1" measure="1" displayFolder="" measureGroup="Actuals1_1" count="0"/>
    <cacheHierarchy uniqueName="[Measures].[COGS to Revenue]" caption="COGS to Revenue" measure="1" displayFolder="" measureGroup="Actuals1_1" count="0"/>
    <cacheHierarchy uniqueName="[Measures].[COGS to Revenue 1]" caption="COGS to Revenue 1" measure="1" displayFolder="" measureGroup="Actuals1_1" count="0"/>
    <cacheHierarchy uniqueName="[Measures].[__XL_Count Actuals1_1]" caption="__XL_Count Actuals1_1" measure="1" displayFolder="" measureGroup="Actuals1_1" count="0" hidden="1"/>
    <cacheHierarchy uniqueName="[Measures].[__XL_Count P_L]" caption="__XL_Count P_L" measure="1" displayFolder="" measureGroup="P_L" count="0" hidden="1"/>
    <cacheHierarchy uniqueName="[Measures].[__XL_Count Date]" caption="__XL_Count Date" measure="1" displayFolder="" measureGroup="Date" count="0" hidden="1"/>
    <cacheHierarchy uniqueName="[Measures].[__XL_Count Budget2_1]" caption="__XL_Count Budget2_1" measure="1" displayFolder="" measureGroup="Budget2_1" count="0" hidden="1"/>
    <cacheHierarchy uniqueName="[Measures].[__Nie zdefiniowano żadnych miar]" caption="__Nie zdefiniowano żadnych miar" measure="1" displayFolder="" count="0" hidden="1"/>
    <cacheHierarchy uniqueName="[Measures].[_COGS Goal]" caption="_COGS Goal" measure="1" displayFolder="" measureGroup="Actuals1_1" count="0" hidden="1"/>
    <cacheHierarchy uniqueName="[Measures].[_COGS Status]" caption="_COGS Status" measure="1" iconSet="11" displayFolder="" measureGroup="Actuals1_1" count="0" hidden="1"/>
    <cacheHierarchy uniqueName="[Measures].[_COGS1 Goal]" caption="_COGS1 Goal" measure="1" displayFolder="" measureGroup="Actuals1_1" count="0" hidden="1"/>
    <cacheHierarchy uniqueName="[Measures].[_COGS1 Status]" caption="_COGS1 Status" measure="1" iconSet="11" displayFolder="" measureGroup="Actuals1_1" count="0" hidden="1"/>
    <cacheHierarchy uniqueName="[Measures].[_Gross Profit Margin Goal]" caption="_Gross Profit Margin Goal" measure="1" displayFolder="" measureGroup="Actuals1_1" count="0" hidden="1"/>
    <cacheHierarchy uniqueName="[Measures].[_Gross Profit Margin Status]" caption="_Gross Profit Margin Status" measure="1" iconSet="11" displayFolder="" measureGroup="Actuals1_1" count="0" hidden="1"/>
    <cacheHierarchy uniqueName="[Measures].[_Gross Profit Margin 1 Goal]" caption="_Gross Profit Margin 1 Goal" measure="1" displayFolder="" measureGroup="Actuals1_1" count="0" hidden="1"/>
    <cacheHierarchy uniqueName="[Measures].[_Gross Profit Margin 1 Status]" caption="_Gross Profit Margin 1 Status" measure="1" iconSet="11" displayFolder="" measureGroup="Actuals1_1" count="0" hidden="1"/>
    <cacheHierarchy uniqueName="[Measures].[_EBITDA Margin Goal]" caption="_EBITDA Margin Goal" measure="1" displayFolder="" measureGroup="Actuals1_1" count="0" hidden="1"/>
    <cacheHierarchy uniqueName="[Measures].[_EBITDA Margin Status]" caption="_EBITDA Margin Status" measure="1" iconSet="11" displayFolder="" measureGroup="Actuals1_1" count="0" hidden="1"/>
    <cacheHierarchy uniqueName="[Measures].[_EBITDA Margin 1 Goal]" caption="_EBITDA Margin 1 Goal" measure="1" displayFolder="" measureGroup="Actuals1_1" count="0" hidden="1"/>
    <cacheHierarchy uniqueName="[Measures].[_EBITDA Margin 1 Status]" caption="_EBITDA Margin 1 Status" measure="1" iconSet="11" displayFolder="" measureGroup="Actuals1_1" count="0" hidden="1"/>
    <cacheHierarchy uniqueName="[Measures].[_COGS to Revenue Goal]" caption="_COGS to Revenue Goal" measure="1" displayFolder="" measureGroup="Actuals1_1" count="0" hidden="1"/>
    <cacheHierarchy uniqueName="[Measures].[_COGS to Revenue Status]" caption="_COGS to Revenue Status" measure="1" iconSet="11" displayFolder="" measureGroup="Actuals1_1" count="0" hidden="1"/>
    <cacheHierarchy uniqueName="[Measures].[_COGS to Revenue 1 Goal]" caption="_COGS to Revenue 1 Goal" measure="1" displayFolder="" measureGroup="Actuals1_1" count="0" hidden="1"/>
    <cacheHierarchy uniqueName="[Measures].[_COGS to Revenue 1 Status]" caption="_COGS to Revenue 1 Status" measure="1" iconSet="11" displayFolder="" measureGroup="Actuals1_1" count="0" hidden="1"/>
  </cacheHierarchies>
  <kpis count="8">
    <kpi uniqueName="COGS" caption="COGS" displayFolder="" measureGroup="Actuals1_1" parent="" value="[Measures].[COGS]" goal="[Measures].[_COGS Goal]" status="[Measures].[_COGS Status]" trend="" weight=""/>
    <kpi uniqueName="COGS1" caption="COGS1" displayFolder="" measureGroup="Actuals1_1" parent="" value="[Measures].[COGS1]" goal="[Measures].[_COGS1 Goal]" status="[Measures].[_COGS1 Status]" trend="" weight=""/>
    <kpi uniqueName="Gross Profit Margin" caption="Gross Profit Margin" displayFolder="" measureGroup="Actuals1_1" parent="" value="[Measures].[Gross Profit Margin]" goal="[Measures].[_Gross Profit Margin Goal]" status="[Measures].[_Gross Profit Margin Status]" trend="" weight=""/>
    <kpi uniqueName="Gross Profit Margin 1" caption="Gross Profit Margin 1" displayFolder="" measureGroup="Actuals1_1" parent="" value="[Measures].[Gross Profit Margin 1]" goal="[Measures].[_Gross Profit Margin 1 Goal]" status="[Measures].[_Gross Profit Margin 1 Status]" trend="" weight=""/>
    <kpi uniqueName="EBITDA Margin" caption="EBITDA Margin" displayFolder="" measureGroup="Actuals1_1" parent="" value="[Measures].[EBITDA Margin]" goal="[Measures].[_EBITDA Margin Goal]" status="[Measures].[_EBITDA Margin Status]" trend="" weight=""/>
    <kpi uniqueName="EBITDA Margin 1" caption="EBITDA Margin 1" displayFolder="" measureGroup="Actuals1_1" parent="" value="[Measures].[EBITDA Margin 1]" goal="[Measures].[_EBITDA Margin 1 Goal]" status="[Measures].[_EBITDA Margin 1 Status]" trend="" weight=""/>
    <kpi uniqueName="COGS to Revenue" caption="COGS to Revenue" displayFolder="" measureGroup="Actuals1_1" parent="" value="[Measures].[COGS to Revenue]" goal="[Measures].[_COGS to Revenue Goal]" status="[Measures].[_COGS to Revenue Status]" trend="" weight=""/>
    <kpi uniqueName="COGS to Revenue 1" caption="COGS to Revenue 1" displayFolder="" measureGroup="Actuals1_1" parent="" value="[Measures].[COGS to Revenue 1]" goal="[Measures].[_COGS to Revenue 1 Goal]" status="[Measures].[_COGS to Revenue 1 Status]" trend="" weight=""/>
  </kpis>
  <extLst>
    <ext xmlns:x14="http://schemas.microsoft.com/office/spreadsheetml/2009/9/main" uri="{725AE2AE-9491-48be-B2B4-4EB974FC3084}">
      <x14:pivotCacheDefinition pivotCacheId="82342920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64ED5-4281-45B2-BE2D-DBBF3FCA579E}" name="PeriodAnalysis1" cacheId="62" applyNumberFormats="0" applyBorderFormats="0" applyFontFormats="0" applyPatternFormats="0" applyAlignmentFormats="0" applyWidthHeightFormats="1" dataCaption="Wartości" tag="657d2c82-cc09-436a-a887-a28b6c691431" updatedVersion="8" minRefreshableVersion="5" useAutoFormatting="1" subtotalHiddenItems="1" rowGrandTotals="0" colGrandTotals="0" itemPrintTitles="1" createdVersion="8" indent="0" compact="0" compactData="0" multipleFieldFilters="0" chartFormat="41">
  <location ref="K3:S18" firstHeaderRow="0" firstDataRow="1" firstDataCol="6" rowPageCount="1" colPageCount="1"/>
  <pivotFields count="10">
    <pivotField axis="axisRow" compact="0" allDrilled="1" outline="0" subtotalTop="0" showAll="0" dataSourceSort="1">
      <items count="2">
        <item s="1" x="0" e="0"/>
        <item t="default"/>
      </items>
    </pivotField>
    <pivotField axis="axisRow" compact="0" allDrilled="1" outline="0" subtotalTop="0" showAll="0" dataSourceSort="1">
      <items count="8">
        <item x="0" e="0"/>
        <item x="1" e="0"/>
        <item x="2" e="0"/>
        <item x="3" e="0"/>
        <item x="4" e="0"/>
        <item x="5" e="0"/>
        <item n=" " x="6" e="0"/>
        <item t="default"/>
      </items>
    </pivotField>
    <pivotField axis="axisRow" compact="0" allDrilled="1" outline="0" subtotalTop="0" showAll="0" dataSourceSort="1">
      <items count="6">
        <item x="0" e="0"/>
        <item x="1" e="0"/>
        <item x="2" e="0"/>
        <item x="3" e="0"/>
        <item n=" " x="4" e="0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axis="axisRow" compact="0" allDrilled="1" outline="0" subtotalTop="0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</pivotFields>
  <rowFields count="6">
    <field x="6"/>
    <field x="7"/>
    <field x="8"/>
    <field x="0"/>
    <field x="1"/>
    <field x="2"/>
  </rowFields>
  <rowItems count="15">
    <i>
      <x/>
      <x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t="default" r="1">
      <x/>
    </i>
    <i r="1">
      <x v="1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t="default" r="1">
      <x v="1"/>
    </i>
    <i t="default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9" hier="21" name="[Date].[Year-Month].[All]" cap="All"/>
  </pageFields>
  <dataFields count="3">
    <dataField fld="4" subtotal="count" baseField="0" baseItem="0"/>
    <dataField fld="5" subtotal="count" baseField="0" baseItem="0"/>
    <dataField fld="3" subtotal="count" baseField="0" baseItem="0"/>
  </dataFields>
  <chartFormats count="3"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 2" showRowHeaders="1" showColHeaders="1" showRowStripes="0" showColStripes="0" showLastColumn="1"/>
  <filters count="1">
    <filter fld="6" type="dateBetween" evalOrder="-1" id="2" name="[Date].[Date]">
      <autoFilter ref="A1">
        <filterColumn colId="0">
          <customFilters and="1">
            <customFilter operator="greaterThanOrEqual" val="45658"/>
            <customFilter operator="lessThanOrEqual" val="458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6">
    <rowHierarchyUsage hierarchyUsage="17"/>
    <rowHierarchyUsage hierarchyUsage="22"/>
    <rowHierarchyUsage hierarchyUsage="24"/>
    <rowHierarchyUsage hierarchyUsage="27"/>
    <rowHierarchyUsage hierarchyUsage="28"/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_L]"/>
        <x15:activeTabTopLevelEntity name="[Date]"/>
        <x15:activeTabTopLevelEntity name="[Actuals1_1]"/>
        <x15:activeTabTopLevelEntity name="[Budget2_1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69237-39E9-46ED-832B-B6202A0799A7}" name="Overview1" cacheId="38" applyNumberFormats="0" applyBorderFormats="0" applyFontFormats="0" applyPatternFormats="0" applyAlignmentFormats="0" applyWidthHeightFormats="1" dataCaption="Wartości" tag="1dd972fa-e9a6-4685-bc6c-061760ce7564" updatedVersion="8" minRefreshableVersion="5" useAutoFormatting="1" subtotalHiddenItems="1" itemPrintTitles="1" createdVersion="8" indent="0" compact="0" compactData="0" multipleFieldFilters="0" chartFormat="44">
  <location ref="A3:I10" firstHeaderRow="0" firstDataRow="1" firstDataCol="6" rowPageCount="1" colPageCount="1"/>
  <pivotFields count="12">
    <pivotField axis="axisRow" compact="0" allDrilled="1" outline="0" showAll="0" dataSourceSort="1" defaultSubtotal="0">
      <items count="7">
        <item s="1" x="0" e="0"/>
        <item x="1" e="0"/>
        <item x="2" e="0"/>
        <item x="3" e="0"/>
        <item x="4" e="0"/>
        <item x="5" e="0"/>
        <item x="6" e="0"/>
      </items>
    </pivotField>
    <pivotField axis="axisRow" compact="0" allDrilled="1" outline="0" showAll="0" dataSourceSort="1" defaultSubtotal="0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</pivotField>
    <pivotField axis="axisRow" compact="0" allDrilled="1" outline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compact="0" outline="0" showAll="0" defaultSubtotal="0"/>
    <pivotField compact="0" allDrilled="1" outline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6">
    <field x="7"/>
    <field x="8"/>
    <field x="9"/>
    <field x="0"/>
    <field x="1"/>
    <field x="2"/>
  </rowFields>
  <rowItems count="7">
    <i>
      <x/>
      <x/>
      <x/>
      <x/>
    </i>
    <i r="2">
      <x v="1"/>
      <x/>
    </i>
    <i r="2">
      <x v="2"/>
      <x/>
    </i>
    <i r="1">
      <x v="1"/>
      <x v="3"/>
      <x/>
    </i>
    <i r="2">
      <x v="4"/>
      <x/>
    </i>
    <i r="2">
      <x v="5"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21" name="[Date].[Year-Month].[All]" cap="All"/>
  </pageFields>
  <dataFields count="3">
    <dataField fld="3" subtotal="count" baseField="0" baseItem="0"/>
    <dataField fld="5" subtotal="count" baseField="0" baseItem="0"/>
    <dataField fld="6" subtotal="count" baseField="0" baseItem="0"/>
  </dataFields>
  <chartFormats count="103">
    <chartFormat chart="10" format="1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6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170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7"/>
          </reference>
        </references>
      </pivotArea>
    </chartFormat>
    <chartFormat chart="10" format="171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8"/>
          </reference>
        </references>
      </pivotArea>
    </chartFormat>
    <chartFormat chart="10" format="172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9"/>
          </reference>
        </references>
      </pivotArea>
    </chartFormat>
    <chartFormat chart="10" format="362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6"/>
          </reference>
          <reference field="2" count="1" selected="0">
            <x v="15"/>
          </reference>
        </references>
      </pivotArea>
    </chartFormat>
    <chartFormat chart="10" format="363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6"/>
          </reference>
          <reference field="1" count="1" selected="0">
            <x v="6"/>
          </reference>
          <reference field="2" count="1" selected="0">
            <x v="15"/>
          </reference>
        </references>
      </pivotArea>
    </chartFormat>
    <chartFormat chart="10" format="364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6"/>
          </reference>
          <reference field="1" count="1" selected="0">
            <x v="6"/>
          </reference>
          <reference field="2" count="1" selected="0">
            <x v="15"/>
          </reference>
        </references>
      </pivotArea>
    </chartFormat>
    <chartFormat chart="10" format="365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14"/>
          </reference>
        </references>
      </pivotArea>
    </chartFormat>
    <chartFormat chart="10" format="366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14"/>
          </reference>
        </references>
      </pivotArea>
    </chartFormat>
    <chartFormat chart="10" format="367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14"/>
          </reference>
        </references>
      </pivotArea>
    </chartFormat>
    <chartFormat chart="10" format="368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0"/>
          </reference>
        </references>
      </pivotArea>
    </chartFormat>
    <chartFormat chart="10" format="369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0"/>
          </reference>
        </references>
      </pivotArea>
    </chartFormat>
    <chartFormat chart="10" format="370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0"/>
          </reference>
        </references>
      </pivotArea>
    </chartFormat>
    <chartFormat chart="10" format="371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1"/>
          </reference>
        </references>
      </pivotArea>
    </chartFormat>
    <chartFormat chart="10" format="372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1"/>
          </reference>
        </references>
      </pivotArea>
    </chartFormat>
    <chartFormat chart="10" format="373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1"/>
          </reference>
        </references>
      </pivotArea>
    </chartFormat>
    <chartFormat chart="10" format="374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2"/>
          </reference>
        </references>
      </pivotArea>
    </chartFormat>
    <chartFormat chart="10" format="375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2"/>
          </reference>
        </references>
      </pivotArea>
    </chartFormat>
    <chartFormat chart="10" format="376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2"/>
          </reference>
        </references>
      </pivotArea>
    </chartFormat>
    <chartFormat chart="10" format="377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6"/>
          </reference>
        </references>
      </pivotArea>
    </chartFormat>
    <chartFormat chart="10" format="378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6"/>
          </reference>
        </references>
      </pivotArea>
    </chartFormat>
    <chartFormat chart="10" format="379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6"/>
          </reference>
        </references>
      </pivotArea>
    </chartFormat>
    <chartFormat chart="10" format="380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7"/>
          </reference>
        </references>
      </pivotArea>
    </chartFormat>
    <chartFormat chart="10" format="381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7"/>
          </reference>
        </references>
      </pivotArea>
    </chartFormat>
    <chartFormat chart="10" format="382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7"/>
          </reference>
        </references>
      </pivotArea>
    </chartFormat>
    <chartFormat chart="10" format="383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8"/>
          </reference>
        </references>
      </pivotArea>
    </chartFormat>
    <chartFormat chart="10" format="384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8"/>
          </reference>
        </references>
      </pivotArea>
    </chartFormat>
    <chartFormat chart="10" format="385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8"/>
          </reference>
        </references>
      </pivotArea>
    </chartFormat>
    <chartFormat chart="10" format="386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387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388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389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10" format="390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10" format="391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10" format="392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10" format="393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10" format="394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10" format="395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10" format="396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10" format="397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10" format="398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4"/>
          </reference>
        </references>
      </pivotArea>
    </chartFormat>
    <chartFormat chart="10" format="399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4"/>
          </reference>
        </references>
      </pivotArea>
    </chartFormat>
    <chartFormat chart="10" format="400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4"/>
          </reference>
        </references>
      </pivotArea>
    </chartFormat>
    <chartFormat chart="10" format="401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  <reference field="2" count="1" selected="0">
            <x v="5"/>
          </reference>
        </references>
      </pivotArea>
    </chartFormat>
    <chartFormat chart="10" format="402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4"/>
          </reference>
          <reference field="2" count="1" selected="0">
            <x v="5"/>
          </reference>
        </references>
      </pivotArea>
    </chartFormat>
    <chartFormat chart="10" format="403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4"/>
          </reference>
          <reference field="2" count="1" selected="0">
            <x v="5"/>
          </reference>
        </references>
      </pivotArea>
    </chartFormat>
    <chartFormat chart="10" format="404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  <reference field="2" count="1" selected="0">
            <x v="9"/>
          </reference>
        </references>
      </pivotArea>
    </chartFormat>
    <chartFormat chart="10" format="405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5"/>
          </reference>
          <reference field="2" count="1" selected="0">
            <x v="9"/>
          </reference>
        </references>
      </pivotArea>
    </chartFormat>
    <chartFormat chart="10" format="406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5"/>
          </reference>
          <reference field="2" count="1" selected="0">
            <x v="9"/>
          </reference>
        </references>
      </pivotArea>
    </chartFormat>
    <chartFormat chart="10" format="407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13"/>
          </reference>
        </references>
      </pivotArea>
    </chartFormat>
    <chartFormat chart="10" format="408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13"/>
          </reference>
        </references>
      </pivotArea>
    </chartFormat>
    <chartFormat chart="10" format="409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13"/>
          </reference>
        </references>
      </pivotArea>
    </chartFormat>
    <chartFormat chart="10" format="410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  <reference field="2" count="1" selected="0">
            <x v="22"/>
          </reference>
        </references>
      </pivotArea>
    </chartFormat>
    <chartFormat chart="10" format="411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4"/>
          </reference>
          <reference field="1" count="1" selected="0">
            <x v="6"/>
          </reference>
          <reference field="2" count="1" selected="0">
            <x v="22"/>
          </reference>
        </references>
      </pivotArea>
    </chartFormat>
    <chartFormat chart="10" format="412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4"/>
          </reference>
          <reference field="1" count="1" selected="0">
            <x v="6"/>
          </reference>
          <reference field="2" count="1" selected="0">
            <x v="22"/>
          </reference>
        </references>
      </pivotArea>
    </chartFormat>
    <chartFormat chart="10" format="413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6"/>
          </reference>
        </references>
      </pivotArea>
    </chartFormat>
    <chartFormat chart="10" format="414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6"/>
          </reference>
        </references>
      </pivotArea>
    </chartFormat>
    <chartFormat chart="10" format="415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6"/>
          </reference>
        </references>
      </pivotArea>
    </chartFormat>
    <chartFormat chart="10" format="416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7"/>
          </reference>
        </references>
      </pivotArea>
    </chartFormat>
    <chartFormat chart="10" format="417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7"/>
          </reference>
        </references>
      </pivotArea>
    </chartFormat>
    <chartFormat chart="10" format="418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8"/>
          </reference>
        </references>
      </pivotArea>
    </chartFormat>
    <chartFormat chart="10" format="419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8"/>
          </reference>
        </references>
      </pivotArea>
    </chartFormat>
    <chartFormat chart="10" format="420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9"/>
          </reference>
        </references>
      </pivotArea>
    </chartFormat>
    <chartFormat chart="10" format="421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6"/>
          </reference>
          <reference field="2" count="1" selected="0">
            <x v="19"/>
          </reference>
        </references>
      </pivotArea>
    </chartFormat>
    <chartFormat chart="10" format="422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  <reference field="2" count="1" selected="0">
            <x v="23"/>
          </reference>
        </references>
      </pivotArea>
    </chartFormat>
    <chartFormat chart="10" format="423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3"/>
          </reference>
          <reference field="1" count="1" selected="0">
            <x v="7"/>
          </reference>
          <reference field="2" count="1" selected="0">
            <x v="23"/>
          </reference>
        </references>
      </pivotArea>
    </chartFormat>
    <chartFormat chart="10" format="424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3"/>
          </reference>
          <reference field="1" count="1" selected="0">
            <x v="7"/>
          </reference>
          <reference field="2" count="1" selected="0">
            <x v="23"/>
          </reference>
        </references>
      </pivotArea>
    </chartFormat>
    <chartFormat chart="10" format="425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  <reference field="2" count="1" selected="0">
            <x v="24"/>
          </reference>
        </references>
      </pivotArea>
    </chartFormat>
    <chartFormat chart="10" format="426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3"/>
          </reference>
          <reference field="1" count="1" selected="0">
            <x v="7"/>
          </reference>
          <reference field="2" count="1" selected="0">
            <x v="24"/>
          </reference>
        </references>
      </pivotArea>
    </chartFormat>
    <chartFormat chart="10" format="427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3"/>
          </reference>
          <reference field="1" count="1" selected="0">
            <x v="7"/>
          </reference>
          <reference field="2" count="1" selected="0">
            <x v="24"/>
          </reference>
        </references>
      </pivotArea>
    </chartFormat>
    <chartFormat chart="10" format="428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  <reference field="2" count="1" selected="0">
            <x v="25"/>
          </reference>
        </references>
      </pivotArea>
    </chartFormat>
    <chartFormat chart="10" format="429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3"/>
          </reference>
          <reference field="1" count="1" selected="0">
            <x v="8"/>
          </reference>
          <reference field="2" count="1" selected="0">
            <x v="25"/>
          </reference>
        </references>
      </pivotArea>
    </chartFormat>
    <chartFormat chart="10" format="430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3"/>
          </reference>
          <reference field="1" count="1" selected="0">
            <x v="8"/>
          </reference>
          <reference field="2" count="1" selected="0">
            <x v="25"/>
          </reference>
        </references>
      </pivotArea>
    </chartFormat>
    <chartFormat chart="10" format="431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  <reference field="2" count="1" selected="0">
            <x v="26"/>
          </reference>
        </references>
      </pivotArea>
    </chartFormat>
    <chartFormat chart="10" format="432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3"/>
          </reference>
          <reference field="1" count="1" selected="0">
            <x v="8"/>
          </reference>
          <reference field="2" count="1" selected="0">
            <x v="26"/>
          </reference>
        </references>
      </pivotArea>
    </chartFormat>
    <chartFormat chart="10" format="433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3"/>
          </reference>
          <reference field="1" count="1" selected="0">
            <x v="8"/>
          </reference>
          <reference field="2" count="1" selected="0">
            <x v="26"/>
          </reference>
        </references>
      </pivotArea>
    </chartFormat>
    <chartFormat chart="10" format="434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  <reference field="2" count="1" selected="0">
            <x v="27"/>
          </reference>
        </references>
      </pivotArea>
    </chartFormat>
    <chartFormat chart="10" format="435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3"/>
          </reference>
          <reference field="1" count="1" selected="0">
            <x v="9"/>
          </reference>
          <reference field="2" count="1" selected="0">
            <x v="27"/>
          </reference>
        </references>
      </pivotArea>
    </chartFormat>
    <chartFormat chart="10" format="436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3"/>
          </reference>
          <reference field="1" count="1" selected="0">
            <x v="9"/>
          </reference>
          <reference field="2" count="1" selected="0">
            <x v="27"/>
          </reference>
        </references>
      </pivotArea>
    </chartFormat>
    <chartFormat chart="10" format="437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  <reference field="2" count="1" selected="0">
            <x v="15"/>
          </reference>
        </references>
      </pivotArea>
    </chartFormat>
    <chartFormat chart="10" format="438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2"/>
          </reference>
          <reference field="1" count="1" selected="0">
            <x v="6"/>
          </reference>
          <reference field="2" count="1" selected="0">
            <x v="15"/>
          </reference>
        </references>
      </pivotArea>
    </chartFormat>
    <chartFormat chart="10" format="439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2"/>
          </reference>
          <reference field="1" count="1" selected="0">
            <x v="6"/>
          </reference>
          <reference field="2" count="1" selected="0">
            <x v="15"/>
          </reference>
        </references>
      </pivotArea>
    </chartFormat>
    <chartFormat chart="10" format="440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  <reference field="2" count="1" selected="0">
            <x v="15"/>
          </reference>
        </references>
      </pivotArea>
    </chartFormat>
    <chartFormat chart="10" format="441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5"/>
          </reference>
          <reference field="1" count="1" selected="0">
            <x v="6"/>
          </reference>
          <reference field="2" count="1" selected="0">
            <x v="15"/>
          </reference>
        </references>
      </pivotArea>
    </chartFormat>
    <chartFormat chart="10" format="442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5"/>
          </reference>
          <reference field="1" count="1" selected="0">
            <x v="6"/>
          </reference>
          <reference field="2" count="1" selected="0">
            <x v="15"/>
          </reference>
        </references>
      </pivotArea>
    </chartFormat>
    <chartFormat chart="10" format="443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  <reference field="2" count="1" selected="0">
            <x v="20"/>
          </reference>
        </references>
      </pivotArea>
    </chartFormat>
    <chartFormat chart="10" format="444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4"/>
          </reference>
          <reference field="1" count="1" selected="0">
            <x v="6"/>
          </reference>
          <reference field="2" count="1" selected="0">
            <x v="20"/>
          </reference>
        </references>
      </pivotArea>
    </chartFormat>
    <chartFormat chart="10" format="445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4"/>
          </reference>
          <reference field="1" count="1" selected="0">
            <x v="6"/>
          </reference>
          <reference field="2" count="1" selected="0">
            <x v="20"/>
          </reference>
        </references>
      </pivotArea>
    </chartFormat>
    <chartFormat chart="10" format="446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  <reference field="2" count="1" selected="0">
            <x v="21"/>
          </reference>
        </references>
      </pivotArea>
    </chartFormat>
    <chartFormat chart="10" format="447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4"/>
          </reference>
          <reference field="1" count="1" selected="0">
            <x v="6"/>
          </reference>
          <reference field="2" count="1" selected="0">
            <x v="21"/>
          </reference>
        </references>
      </pivotArea>
    </chartFormat>
    <chartFormat chart="10" format="448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4"/>
          </reference>
          <reference field="1" count="1" selected="0">
            <x v="6"/>
          </reference>
          <reference field="2" count="1" selected="0">
            <x v="21"/>
          </reference>
        </references>
      </pivotArea>
    </chartFormat>
    <chartFormat chart="10" format="453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  <reference field="2" count="1" selected="0">
            <x v="1048832"/>
          </reference>
        </references>
      </pivotArea>
    </chartFormat>
    <chartFormat chart="10" format="454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3"/>
          </reference>
          <reference field="1" count="1" selected="0">
            <x v="8"/>
          </reference>
          <reference field="2" count="1" selected="0">
            <x v="1048832"/>
          </reference>
        </references>
      </pivotArea>
    </chartFormat>
    <chartFormat chart="10" format="455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3"/>
          </reference>
          <reference field="1" count="1" selected="0">
            <x v="8"/>
          </reference>
          <reference field="2" count="1" selected="0">
            <x v="1048832"/>
          </reference>
        </references>
      </pivotArea>
    </chartFormat>
    <chartFormat chart="10" format="456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  <reference field="2" count="1" selected="0">
            <x v="1048832"/>
          </reference>
        </references>
      </pivotArea>
    </chartFormat>
    <chartFormat chart="10" format="457" series="1">
      <pivotArea type="data" outline="0" fieldPosition="0">
        <references count="4">
          <reference field="4294967294" count="1" selected="0">
            <x v="1"/>
          </reference>
          <reference field="0" count="1" selected="0">
            <x v="3"/>
          </reference>
          <reference field="1" count="1" selected="0">
            <x v="9"/>
          </reference>
          <reference field="2" count="1" selected="0">
            <x v="1048832"/>
          </reference>
        </references>
      </pivotArea>
    </chartFormat>
    <chartFormat chart="10" format="458" series="1">
      <pivotArea type="data" outline="0" fieldPosition="0">
        <references count="4">
          <reference field="4294967294" count="1" selected="0">
            <x v="2"/>
          </reference>
          <reference field="0" count="1" selected="0">
            <x v="3"/>
          </reference>
          <reference field="1" count="1" selected="0">
            <x v="9"/>
          </reference>
          <reference field="2" count="1" selected="0">
            <x v="1048832"/>
          </reference>
        </references>
      </pivotArea>
    </chartFormat>
    <chartFormat chart="10" format="45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24"/>
          </reference>
        </references>
      </pivotArea>
    </chartFormat>
    <chartFormat chart="10" format="46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25"/>
          </reference>
        </references>
      </pivotArea>
    </chartFormat>
    <chartFormat chart="10" format="46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26"/>
          </reference>
        </references>
      </pivotArea>
    </chartFormat>
    <chartFormat chart="10" format="46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27"/>
          </reference>
        </references>
      </pivotArea>
    </chartFormat>
  </chartFormats>
  <pivotHierarchies count="94">
    <pivotHierarchy dragToData="1"/>
    <pivotHierarchy multipleItemSelectionAllowed="1" dragToData="1"/>
    <pivotHierarchy multipleItemSelectionAllowed="1" dragToData="1">
      <members count="1" level="1">
        <member name="[Actuals1_1].[Type].&amp;[B. COGS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1" type="dateBetween" evalOrder="-1" id="27" name="[Date].[Date]">
      <autoFilter ref="A1">
        <filterColumn colId="0">
          <customFilters and="1">
            <customFilter operator="greaterThanOrEqual" val="45658"/>
            <customFilter operator="lessThanOrEqual" val="458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6">
    <rowHierarchyUsage hierarchyUsage="17"/>
    <rowHierarchyUsage hierarchyUsage="22"/>
    <rowHierarchyUsage hierarchyUsage="24"/>
    <rowHierarchyUsage hierarchyUsage="27"/>
    <rowHierarchyUsage hierarchyUsage="28"/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Actuals1_1]"/>
        <x15:activeTabTopLevelEntity name="[Budget2_1]"/>
        <x15:activeTabTopLevelEntity name="[P_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F2D6C-68A8-405D-9950-8350059FF62A}" name="KPIs1" cacheId="2" applyNumberFormats="0" applyBorderFormats="0" applyFontFormats="0" applyPatternFormats="0" applyAlignmentFormats="0" applyWidthHeightFormats="1" dataCaption="Wartości" tag="0c3e4331-ceec-43da-8998-8f756a1fe82e" updatedVersion="8" minRefreshableVersion="5" useAutoFormatting="1" subtotalHiddenItems="1" colGrandTotals="0" itemPrintTitles="1" createdVersion="8" indent="0" compact="0" compactData="0" multipleFieldFilters="0" chartFormat="20">
  <location ref="W3:AG13" firstHeaderRow="0" firstDataRow="1" firstDataCol="3" rowPageCount="1" colPageCount="1"/>
  <pivotFields count="13"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axis="axisRow" compact="0" allDrilled="1" outline="0" subtotalTop="0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compact="0" allDrilled="1" outline="0" subtotalTop="0" showAll="0" dataSourceSort="1" defaultAttributeDrillState="1">
      <items count="1">
        <item t="default"/>
      </items>
    </pivotField>
  </pivotFields>
  <rowFields count="3">
    <field x="8"/>
    <field x="9"/>
    <field x="10"/>
  </rowFields>
  <rowItems count="10">
    <i>
      <x/>
      <x/>
      <x/>
    </i>
    <i r="2">
      <x v="1"/>
    </i>
    <i r="2">
      <x v="2"/>
    </i>
    <i t="default" r="1">
      <x/>
    </i>
    <i r="1">
      <x v="1"/>
      <x v="3"/>
    </i>
    <i r="2">
      <x v="4"/>
    </i>
    <i r="2">
      <x v="5"/>
    </i>
    <i t="default" r="1">
      <x v="1"/>
    </i>
    <i t="default">
      <x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11" hier="21" name="[Date].[Year-Month].[All]" cap="All"/>
  </pageFields>
  <dataFields count="8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</dataFields>
  <chartFormats count="56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8" format="16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8" format="17" series="1">
      <pivotArea type="data" outline="0" fieldPosition="0">
        <references count="3">
          <reference field="4294967294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8" format="18" series="1">
      <pivotArea type="data" outline="0" fieldPosition="0">
        <references count="3">
          <reference field="4294967294" count="1" selected="0">
            <x v="2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8" format="19" series="1">
      <pivotArea type="data" outline="0" fieldPosition="0">
        <references count="3">
          <reference field="4294967294" count="1" selected="0">
            <x v="3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8" format="20" series="1">
      <pivotArea type="data" outline="0" fieldPosition="0">
        <references count="3">
          <reference field="4294967294" count="1" selected="0">
            <x v="4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8" format="21" series="1">
      <pivotArea type="data" outline="0" fieldPosition="0">
        <references count="3">
          <reference field="4294967294" count="1" selected="0">
            <x v="5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8" format="22" series="1">
      <pivotArea type="data" outline="0" fieldPosition="0">
        <references count="3">
          <reference field="4294967294" count="1" selected="0">
            <x v="6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8" format="23" series="1">
      <pivotArea type="data" outline="0" fieldPosition="0">
        <references count="3">
          <reference field="4294967294" count="1" selected="0">
            <x v="7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3"/>
          </reference>
          <reference field="10" count="1" selected="0">
            <x v="1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4"/>
          </reference>
          <reference field="10" count="1" selected="0">
            <x v="1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5"/>
          </reference>
          <reference field="10" count="1" selected="0">
            <x v="1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6"/>
          </reference>
          <reference field="10" count="1" selected="0">
            <x v="1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7"/>
          </reference>
          <reference field="10" count="1" selected="0">
            <x v="1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2"/>
          </reference>
        </references>
      </pivotArea>
    </chartFormat>
    <chartFormat chart="8" format="35" series="1">
      <pivotArea type="data" outline="0" fieldPosition="0">
        <references count="2">
          <reference field="4294967294" count="1" selected="0">
            <x v="3"/>
          </reference>
          <reference field="10" count="1" selected="0">
            <x v="2"/>
          </reference>
        </references>
      </pivotArea>
    </chartFormat>
    <chartFormat chart="8" format="36" series="1">
      <pivotArea type="data" outline="0" fieldPosition="0">
        <references count="2">
          <reference field="4294967294" count="1" selected="0">
            <x v="4"/>
          </reference>
          <reference field="10" count="1" selected="0">
            <x v="2"/>
          </reference>
        </references>
      </pivotArea>
    </chartFormat>
    <chartFormat chart="8" format="37" series="1">
      <pivotArea type="data" outline="0" fieldPosition="0">
        <references count="2">
          <reference field="4294967294" count="1" selected="0">
            <x v="5"/>
          </reference>
          <reference field="10" count="1" selected="0">
            <x v="2"/>
          </reference>
        </references>
      </pivotArea>
    </chartFormat>
    <chartFormat chart="8" format="38" series="1">
      <pivotArea type="data" outline="0" fieldPosition="0">
        <references count="2">
          <reference field="4294967294" count="1" selected="0">
            <x v="6"/>
          </reference>
          <reference field="10" count="1" selected="0">
            <x v="2"/>
          </reference>
        </references>
      </pivotArea>
    </chartFormat>
    <chartFormat chart="8" format="39" series="1">
      <pivotArea type="data" outline="0" fieldPosition="0">
        <references count="2">
          <reference field="4294967294" count="1" selected="0">
            <x v="7"/>
          </reference>
          <reference field="10" count="1" selected="0">
            <x v="2"/>
          </reference>
        </references>
      </pivotArea>
    </chartFormat>
    <chartFormat chart="8" format="4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8" format="41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8" format="42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3"/>
          </reference>
        </references>
      </pivotArea>
    </chartFormat>
    <chartFormat chart="8" format="43" series="1">
      <pivotArea type="data" outline="0" fieldPosition="0">
        <references count="2">
          <reference field="4294967294" count="1" selected="0">
            <x v="3"/>
          </reference>
          <reference field="10" count="1" selected="0">
            <x v="3"/>
          </reference>
        </references>
      </pivotArea>
    </chartFormat>
    <chartFormat chart="8" format="44" series="1">
      <pivotArea type="data" outline="0" fieldPosition="0">
        <references count="2">
          <reference field="4294967294" count="1" selected="0">
            <x v="4"/>
          </reference>
          <reference field="10" count="1" selected="0">
            <x v="3"/>
          </reference>
        </references>
      </pivotArea>
    </chartFormat>
    <chartFormat chart="8" format="45" series="1">
      <pivotArea type="data" outline="0" fieldPosition="0">
        <references count="2">
          <reference field="4294967294" count="1" selected="0">
            <x v="5"/>
          </reference>
          <reference field="10" count="1" selected="0">
            <x v="3"/>
          </reference>
        </references>
      </pivotArea>
    </chartFormat>
    <chartFormat chart="8" format="46" series="1">
      <pivotArea type="data" outline="0" fieldPosition="0">
        <references count="2">
          <reference field="4294967294" count="1" selected="0">
            <x v="6"/>
          </reference>
          <reference field="10" count="1" selected="0">
            <x v="3"/>
          </reference>
        </references>
      </pivotArea>
    </chartFormat>
    <chartFormat chart="8" format="47" series="1">
      <pivotArea type="data" outline="0" fieldPosition="0">
        <references count="2">
          <reference field="4294967294" count="1" selected="0">
            <x v="7"/>
          </reference>
          <reference field="10" count="1" selected="0">
            <x v="3"/>
          </reference>
        </references>
      </pivotArea>
    </chartFormat>
    <chartFormat chart="8" format="4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8" format="49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4"/>
          </reference>
        </references>
      </pivotArea>
    </chartFormat>
    <chartFormat chart="8" format="50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4"/>
          </reference>
        </references>
      </pivotArea>
    </chartFormat>
    <chartFormat chart="8" format="51" series="1">
      <pivotArea type="data" outline="0" fieldPosition="0">
        <references count="2">
          <reference field="4294967294" count="1" selected="0">
            <x v="3"/>
          </reference>
          <reference field="10" count="1" selected="0">
            <x v="4"/>
          </reference>
        </references>
      </pivotArea>
    </chartFormat>
    <chartFormat chart="8" format="52" series="1">
      <pivotArea type="data" outline="0" fieldPosition="0">
        <references count="2">
          <reference field="4294967294" count="1" selected="0">
            <x v="4"/>
          </reference>
          <reference field="10" count="1" selected="0">
            <x v="4"/>
          </reference>
        </references>
      </pivotArea>
    </chartFormat>
    <chartFormat chart="8" format="53" series="1">
      <pivotArea type="data" outline="0" fieldPosition="0">
        <references count="2">
          <reference field="4294967294" count="1" selected="0">
            <x v="5"/>
          </reference>
          <reference field="10" count="1" selected="0">
            <x v="4"/>
          </reference>
        </references>
      </pivotArea>
    </chartFormat>
    <chartFormat chart="8" format="54" series="1">
      <pivotArea type="data" outline="0" fieldPosition="0">
        <references count="2">
          <reference field="4294967294" count="1" selected="0">
            <x v="6"/>
          </reference>
          <reference field="10" count="1" selected="0">
            <x v="4"/>
          </reference>
        </references>
      </pivotArea>
    </chartFormat>
    <chartFormat chart="8" format="55" series="1">
      <pivotArea type="data" outline="0" fieldPosition="0">
        <references count="2">
          <reference field="4294967294" count="1" selected="0">
            <x v="7"/>
          </reference>
          <reference field="10" count="1" selected="0">
            <x v="4"/>
          </reference>
        </references>
      </pivotArea>
    </chartFormat>
    <chartFormat chart="8" format="5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8" format="57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5"/>
          </reference>
        </references>
      </pivotArea>
    </chartFormat>
    <chartFormat chart="8" format="58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5"/>
          </reference>
        </references>
      </pivotArea>
    </chartFormat>
    <chartFormat chart="8" format="59" series="1">
      <pivotArea type="data" outline="0" fieldPosition="0">
        <references count="2">
          <reference field="4294967294" count="1" selected="0">
            <x v="3"/>
          </reference>
          <reference field="10" count="1" selected="0">
            <x v="5"/>
          </reference>
        </references>
      </pivotArea>
    </chartFormat>
    <chartFormat chart="8" format="60" series="1">
      <pivotArea type="data" outline="0" fieldPosition="0">
        <references count="2">
          <reference field="4294967294" count="1" selected="0">
            <x v="4"/>
          </reference>
          <reference field="10" count="1" selected="0">
            <x v="5"/>
          </reference>
        </references>
      </pivotArea>
    </chartFormat>
    <chartFormat chart="8" format="61" series="1">
      <pivotArea type="data" outline="0" fieldPosition="0">
        <references count="2">
          <reference field="4294967294" count="1" selected="0">
            <x v="5"/>
          </reference>
          <reference field="10" count="1" selected="0">
            <x v="5"/>
          </reference>
        </references>
      </pivotArea>
    </chartFormat>
    <chartFormat chart="8" format="62" series="1">
      <pivotArea type="data" outline="0" fieldPosition="0">
        <references count="2">
          <reference field="4294967294" count="1" selected="0">
            <x v="6"/>
          </reference>
          <reference field="10" count="1" selected="0">
            <x v="5"/>
          </reference>
        </references>
      </pivotArea>
    </chartFormat>
    <chartFormat chart="8" format="63" series="1">
      <pivotArea type="data" outline="0" fieldPosition="0">
        <references count="2">
          <reference field="4294967294" count="1" selected="0">
            <x v="7"/>
          </reference>
          <reference field="10" count="1" selected="0">
            <x v="5"/>
          </reference>
        </references>
      </pivotArea>
    </chartFormat>
  </chartFormat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KPI 1"/>
    <pivotHierarchy dragToRow="0" dragToCol="0" dragToPage="0" dragToData="1"/>
    <pivotHierarchy dragToRow="0" dragToCol="0" dragToPage="0" dragToData="1" caption="KPI 1.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 2" showRowHeaders="1" showColHeaders="1" showRowStripes="0" showColStripes="0" showLastColumn="1"/>
  <filters count="1">
    <filter fld="12" type="dateBetween" evalOrder="-1" id="48" name="[Date].[Date]">
      <autoFilter ref="A1">
        <filterColumn colId="0">
          <customFilters and="1">
            <customFilter operator="greaterThanOrEqual" val="45658"/>
            <customFilter operator="lessThanOrEqual" val="458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3">
    <rowHierarchyUsage hierarchyUsage="17"/>
    <rowHierarchyUsage hierarchyUsage="22"/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Actuals1_1]"/>
        <x15:activeTabTopLevelEntity name="Budget2" type="1"/>
        <x15:activeTabTopLevelEntity name="[Budget2_1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F68A2-C894-44A0-A35F-2B91793F9058}" name="KPIs" cacheId="1" dataOnRows="1" applyNumberFormats="0" applyBorderFormats="0" applyFontFormats="0" applyPatternFormats="0" applyAlignmentFormats="0" applyWidthHeightFormats="1" dataCaption="Wartości" tag="11b91d64-a297-413c-a381-ffd4b0e64717" updatedVersion="8" minRefreshableVersion="5" useAutoFormatting="1" subtotalHiddenItems="1" colGrandTotals="0" itemPrintTitles="1" createdVersion="8" indent="0" compact="0" compactData="0" multipleFieldFilters="0" chartFormat="2">
  <location ref="A12:J31" firstHeaderRow="1" firstDataRow="4" firstDataCol="1"/>
  <pivotFields count="22">
    <pivotField compact="0" allDrilled="1" outline="0" subtotalTop="0" showAll="0" dataSourceSort="1">
      <items count="2">
        <item c="1" x="0"/>
        <item t="default"/>
      </items>
    </pivotField>
    <pivotField compact="0" outline="0" subtotalTop="0" showAll="0" dataSourceSort="1"/>
    <pivotField compact="0" outline="0" subtotalTop="0" showAll="0" dataSourceSort="1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axis="axisCol" compact="0" allDrilled="1" outline="0" subtotalTop="0" showAll="0" dataSourceSort="1" defaultAttributeDrillState="1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AttributeDrillState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-2"/>
  </rowFields>
  <row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rowItems>
  <colFields count="3">
    <field x="19"/>
    <field x="20"/>
    <field x="21"/>
  </colFields>
  <colItems count="9">
    <i>
      <x/>
      <x/>
      <x/>
    </i>
    <i r="2">
      <x v="1"/>
    </i>
    <i r="2">
      <x v="2"/>
    </i>
    <i t="default" r="1">
      <x/>
    </i>
    <i r="1">
      <x v="1"/>
      <x v="3"/>
    </i>
    <i r="2">
      <x v="4"/>
    </i>
    <i r="2">
      <x v="5"/>
    </i>
    <i t="default" r="1">
      <x v="1"/>
    </i>
    <i t="default">
      <x/>
    </i>
  </colItems>
  <dataFields count="16">
    <dataField name="KPI 1" fld="3" subtotal="count" baseField="2" baseItem="0"/>
    <dataField fld="4" subtotal="count" baseField="0" baseItem="0"/>
    <dataField name="KPI 1.1" fld="5" subtotal="count" baseField="2" baseItem="0"/>
    <dataField fld="6" subtotal="count" baseField="0" baseItem="0"/>
    <dataField name="KPI 2" fld="7" subtotal="count" baseField="0" baseItem="0"/>
    <dataField fld="8" subtotal="count" baseField="0" baseItem="0"/>
    <dataField name="KPI 2.2" fld="9" subtotal="count" baseField="0" baseItem="0"/>
    <dataField fld="10" subtotal="count" baseField="0" baseItem="0"/>
    <dataField name="KPI 3" fld="11" subtotal="count" baseField="0" baseItem="0"/>
    <dataField fld="12" subtotal="count" baseField="0" baseItem="0"/>
    <dataField name="KPI 3.1" fld="13" subtotal="count" baseField="0" baseItem="0"/>
    <dataField fld="14" subtotal="count" baseField="0" baseItem="0"/>
    <dataField name="KPI 4" fld="15" subtotal="count" baseField="0" baseItem="0"/>
    <dataField fld="16" subtotal="count" baseField="0" baseItem="0"/>
    <dataField name="KPI 4.1" fld="17" subtotal="count" baseField="0" baseItem="0"/>
    <dataField fld="18" subtotal="count" baseField="0" baseItem="0"/>
  </dataFields>
  <formats count="3">
    <format dxfId="46">
      <pivotArea dataOnly="0" labelOnly="1" outline="0" fieldPosition="0">
        <references count="1">
          <reference field="19" count="0"/>
        </references>
      </pivotArea>
    </format>
    <format dxfId="45">
      <pivotArea dataOnly="0" labelOnly="1" outline="0" fieldPosition="0">
        <references count="1">
          <reference field="20" count="0"/>
        </references>
      </pivotArea>
    </format>
    <format dxfId="44">
      <pivotArea dataOnly="0" labelOnly="1" outline="0" fieldPosition="0">
        <references count="1">
          <reference field="21" count="0"/>
        </references>
      </pivotArea>
    </format>
  </formats>
  <conditionalFormats count="8">
    <conditionalFormat scope="data" priority="1">
      <pivotAreas count="1">
        <pivotArea outline="0" fieldPosition="0">
          <references count="1">
            <reference field="4294967294" count="1" selected="0">
              <x v="14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10"/>
            </reference>
          </references>
        </pivotArea>
      </pivotAreas>
    </conditionalFormat>
    <conditionalFormat scope="data" priority="4">
      <pivotAreas count="1">
        <pivotArea outline="0" fieldPosition="0">
          <references count="1">
            <reference field="4294967294" count="1" selected="0">
              <x v="8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7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8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KPI 1"/>
    <pivotHierarchy dragToRow="0" dragToCol="0" dragToPage="0" dragToData="1"/>
    <pivotHierarchy dragToRow="0" dragToCol="0" dragToPage="0" dragToData="1" caption="KPI 1.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 2" showRowHeaders="1" showColHeaders="1" showRowStripes="0" showColStripes="0" showLastColumn="1"/>
  <filters count="1">
    <filter fld="0" type="dateBetween" evalOrder="-1" id="47" name="[Date].[Date]">
      <autoFilter ref="A1">
        <filterColumn colId="0">
          <customFilters and="1">
            <customFilter operator="greaterThanOrEqual" val="45658"/>
            <customFilter operator="lessThanOrEqual" val="458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-2"/>
  </rowHierarchiesUsage>
  <colHierarchiesUsage count="3">
    <colHierarchyUsage hierarchyUsage="17"/>
    <colHierarchyUsage hierarchyUsage="22"/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Actuals1_1]"/>
        <x15:activeTabTopLevelEntity name="Budget2" type="1"/>
        <x15:activeTabTopLevelEntity name="[Budget2_1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B43F5-8751-4D3C-8598-53C04424DD93}" name="PeriodAnalysis" cacheId="3" dataOnRows="1" applyNumberFormats="0" applyBorderFormats="0" applyFontFormats="0" applyPatternFormats="0" applyAlignmentFormats="0" applyWidthHeightFormats="1" dataCaption="Wartości" tag="1ba294b3-28c1-4919-83d2-f6dcaae5b992" updatedVersion="8" minRefreshableVersion="5" useAutoFormatting="1" subtotalHiddenItems="1" rowGrandTotals="0" colGrandTotals="0" itemPrintTitles="1" createdVersion="8" indent="0" compact="0" compactData="0" multipleFieldFilters="0" chartFormat="12">
  <location ref="A11:M77" firstHeaderRow="1" firstDataRow="4" firstDataCol="4"/>
  <pivotFields count="9">
    <pivotField axis="axisRow" compact="0" allDrilled="1" outline="0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>
      <items count="11">
        <item n=" "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>
      <items count="29">
        <item x="0" e="0"/>
        <item x="1" e="0"/>
        <item x="2" e="0"/>
        <item x="3" e="0"/>
        <item x="4" e="0"/>
        <item x="5" e="0"/>
        <item x="6" e="0"/>
        <item n=" "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-2"/>
  </rowFields>
  <rowItems count="63">
    <i>
      <x/>
      <x/>
      <x v="1048832"/>
      <x/>
    </i>
    <i r="3" i="1">
      <x v="1"/>
    </i>
    <i r="3" i="2">
      <x v="2"/>
    </i>
    <i t="default">
      <x/>
    </i>
    <i t="default" i="1">
      <x/>
    </i>
    <i t="default" i="2">
      <x/>
    </i>
    <i>
      <x v="1"/>
      <x/>
      <x v="1048832"/>
      <x/>
    </i>
    <i r="3" i="1">
      <x v="1"/>
    </i>
    <i r="3" i="2">
      <x v="2"/>
    </i>
    <i t="default">
      <x v="1"/>
    </i>
    <i t="default" i="1">
      <x v="1"/>
    </i>
    <i t="default" i="2">
      <x v="1"/>
    </i>
    <i>
      <x v="2"/>
      <x/>
      <x v="1048832"/>
      <x/>
    </i>
    <i r="3" i="1">
      <x v="1"/>
    </i>
    <i r="3" i="2">
      <x v="2"/>
    </i>
    <i t="default">
      <x v="2"/>
    </i>
    <i t="default" i="1">
      <x v="2"/>
    </i>
    <i t="default" i="2">
      <x v="2"/>
    </i>
    <i>
      <x v="3"/>
      <x v="1"/>
      <x v="1048832"/>
      <x/>
    </i>
    <i r="3" i="1">
      <x v="1"/>
    </i>
    <i r="3" i="2">
      <x v="2"/>
    </i>
    <i r="1">
      <x v="2"/>
      <x v="1048832"/>
      <x/>
    </i>
    <i r="3" i="1">
      <x v="1"/>
    </i>
    <i r="3" i="2">
      <x v="2"/>
    </i>
    <i r="1">
      <x v="3"/>
      <x v="1048832"/>
      <x/>
    </i>
    <i r="3" i="1">
      <x v="1"/>
    </i>
    <i r="3" i="2">
      <x v="2"/>
    </i>
    <i t="default">
      <x v="3"/>
    </i>
    <i t="default" i="1">
      <x v="3"/>
    </i>
    <i t="default" i="2">
      <x v="3"/>
    </i>
    <i>
      <x v="4"/>
      <x/>
      <x v="1048832"/>
      <x/>
    </i>
    <i r="3" i="1">
      <x v="1"/>
    </i>
    <i r="3" i="2">
      <x v="2"/>
    </i>
    <i t="default">
      <x v="4"/>
    </i>
    <i t="default" i="1">
      <x v="4"/>
    </i>
    <i t="default" i="2">
      <x v="4"/>
    </i>
    <i>
      <x v="5"/>
      <x v="4"/>
      <x v="1048832"/>
      <x/>
    </i>
    <i r="3" i="1">
      <x v="1"/>
    </i>
    <i r="3" i="2">
      <x v="2"/>
    </i>
    <i r="1">
      <x v="5"/>
      <x v="1048832"/>
      <x/>
    </i>
    <i r="3" i="1">
      <x v="1"/>
    </i>
    <i r="3" i="2">
      <x v="2"/>
    </i>
    <i r="1">
      <x v="6"/>
      <x v="1048832"/>
      <x/>
    </i>
    <i r="3" i="1">
      <x v="1"/>
    </i>
    <i r="3" i="2">
      <x v="2"/>
    </i>
    <i r="1">
      <x v="7"/>
      <x v="1048832"/>
      <x/>
    </i>
    <i r="3" i="1">
      <x v="1"/>
    </i>
    <i r="3" i="2">
      <x v="2"/>
    </i>
    <i r="1">
      <x v="8"/>
      <x v="1048832"/>
      <x/>
    </i>
    <i r="3" i="1">
      <x v="1"/>
    </i>
    <i r="3" i="2">
      <x v="2"/>
    </i>
    <i r="1">
      <x v="9"/>
      <x v="1048832"/>
      <x/>
    </i>
    <i r="3" i="1">
      <x v="1"/>
    </i>
    <i r="3" i="2">
      <x v="2"/>
    </i>
    <i t="default">
      <x v="5"/>
    </i>
    <i t="default" i="1">
      <x v="5"/>
    </i>
    <i t="default" i="2">
      <x v="5"/>
    </i>
    <i>
      <x v="6"/>
      <x/>
      <x v="1048832"/>
      <x/>
    </i>
    <i r="3" i="1">
      <x v="1"/>
    </i>
    <i r="3" i="2">
      <x v="2"/>
    </i>
    <i t="default">
      <x v="6"/>
    </i>
    <i t="default" i="1">
      <x v="6"/>
    </i>
    <i t="default" i="2">
      <x v="6"/>
    </i>
  </rowItems>
  <colFields count="3">
    <field x="6"/>
    <field x="7"/>
    <field x="8"/>
  </colFields>
  <colItems count="9">
    <i>
      <x/>
      <x/>
      <x/>
    </i>
    <i r="2">
      <x v="1"/>
    </i>
    <i r="2">
      <x v="2"/>
    </i>
    <i t="default" r="1">
      <x/>
    </i>
    <i r="1">
      <x v="1"/>
      <x v="3"/>
    </i>
    <i r="2">
      <x v="4"/>
    </i>
    <i r="2">
      <x v="5"/>
    </i>
    <i t="default" r="1">
      <x v="1"/>
    </i>
    <i t="default">
      <x/>
    </i>
  </colItems>
  <dataFields count="3">
    <dataField fld="4" subtotal="count" baseField="0" baseItem="0"/>
    <dataField fld="5" subtotal="count" baseField="0" baseItem="0"/>
    <dataField fld="3" subtotal="count" baseField="0" baseItem="0"/>
  </dataFields>
  <formats count="3">
    <format dxfId="38">
      <pivotArea dataOnly="0" labelOnly="1" outline="0" fieldPosition="0">
        <references count="1">
          <reference field="6" count="0"/>
        </references>
      </pivotArea>
    </format>
    <format dxfId="37">
      <pivotArea dataOnly="0" labelOnly="1" outline="0" fieldPosition="0">
        <references count="1">
          <reference field="7" count="0"/>
        </references>
      </pivotArea>
    </format>
    <format dxfId="36">
      <pivotArea dataOnly="0" labelOnly="1" outline="0" fieldPosition="0">
        <references count="1">
          <reference field="8" count="0"/>
        </references>
      </pivotArea>
    </format>
  </format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 2" showRowHeaders="1" showColHeaders="1" showRowStripes="0" showColStripes="0" showLastColumn="1"/>
  <filters count="1">
    <filter fld="6" type="dateBetween" evalOrder="-1" id="2" name="[Date].[Date]">
      <autoFilter ref="A1">
        <filterColumn colId="0">
          <customFilters and="1">
            <customFilter operator="greaterThanOrEqual" val="45658"/>
            <customFilter operator="lessThanOrEqual" val="458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4">
    <rowHierarchyUsage hierarchyUsage="27"/>
    <rowHierarchyUsage hierarchyUsage="28"/>
    <rowHierarchyUsage hierarchyUsage="29"/>
    <rowHierarchyUsage hierarchyUsage="-2"/>
  </rowHierarchiesUsage>
  <colHierarchiesUsage count="3">
    <colHierarchyUsage hierarchyUsage="17"/>
    <colHierarchyUsage hierarchyUsage="22"/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P_L]"/>
        <x15:activeTabTopLevelEntity name="[Date]"/>
        <x15:activeTabTopLevelEntity name="[Actuals1_1]"/>
        <x15:activeTabTopLevelEntity name="[Budget2_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A9AD9-B99D-421B-AFA0-00DF665835B1}" name="Overview" cacheId="4" dataOnRows="1" applyNumberFormats="0" applyBorderFormats="0" applyFontFormats="0" applyPatternFormats="0" applyAlignmentFormats="0" applyWidthHeightFormats="1" dataCaption="Wartości" tag="e6ed08f8-da9c-4327-bf7a-52d649f23225" updatedVersion="8" minRefreshableVersion="5" useAutoFormatting="1" subtotalHiddenItems="1" rowGrandTotals="0" colGrandTotals="0" itemPrintTitles="1" createdVersion="8" indent="0" compact="0" compactData="0" multipleFieldFilters="0" chartFormat="9">
  <location ref="A10:M97" firstHeaderRow="1" firstDataRow="4" firstDataCol="4"/>
  <pivotFields count="9">
    <pivotField axis="axisRow" compact="0" allDrilled="1" outline="0" subtotalTop="0" showAll="0" insertBlankRow="1" dataSourceSort="1" defaultAttributeDrillState="1">
      <items count="8"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insertBlankRow="1" dataSourceSort="1">
      <items count="11">
        <item n="  "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insertBlankRow="1" dataSourceSort="1" defaultAttributeDrillState="1">
      <items count="29">
        <item x="0"/>
        <item x="1"/>
        <item x="2"/>
        <item x="3"/>
        <item x="4"/>
        <item x="5"/>
        <item x="6"/>
        <item n="  "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insertBlankRow="1" dataSourceSort="1" defaultAttributeDrillState="1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insertBlankRow="1" dataSourceSort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insertBlankRow="1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-2"/>
  </rowFields>
  <rowItems count="84">
    <i>
      <x/>
      <x/>
      <x v="1048832"/>
      <x/>
    </i>
    <i r="3" i="1">
      <x v="1"/>
    </i>
    <i r="3" i="2">
      <x v="2"/>
    </i>
    <i t="blank" r="1">
      <x/>
    </i>
    <i t="default">
      <x/>
    </i>
    <i t="default" i="1">
      <x/>
    </i>
    <i t="default" i="2">
      <x/>
    </i>
    <i t="blank">
      <x/>
    </i>
    <i>
      <x v="1"/>
      <x/>
      <x v="1048832"/>
      <x/>
    </i>
    <i r="3" i="1">
      <x v="1"/>
    </i>
    <i r="3" i="2">
      <x v="2"/>
    </i>
    <i t="blank" r="1">
      <x/>
    </i>
    <i t="default">
      <x v="1"/>
    </i>
    <i t="default" i="1">
      <x v="1"/>
    </i>
    <i t="default" i="2">
      <x v="1"/>
    </i>
    <i t="blank">
      <x v="1"/>
    </i>
    <i>
      <x v="2"/>
      <x/>
      <x v="1048832"/>
      <x/>
    </i>
    <i r="3" i="1">
      <x v="1"/>
    </i>
    <i r="3" i="2">
      <x v="2"/>
    </i>
    <i t="blank" r="1">
      <x/>
    </i>
    <i t="default">
      <x v="2"/>
    </i>
    <i t="default" i="1">
      <x v="2"/>
    </i>
    <i t="default" i="2">
      <x v="2"/>
    </i>
    <i t="blank">
      <x v="2"/>
    </i>
    <i>
      <x v="3"/>
      <x v="1"/>
      <x v="1048832"/>
      <x/>
    </i>
    <i r="3" i="1">
      <x v="1"/>
    </i>
    <i r="3" i="2">
      <x v="2"/>
    </i>
    <i t="blank" r="1">
      <x v="1"/>
    </i>
    <i r="1">
      <x v="2"/>
      <x v="1048832"/>
      <x/>
    </i>
    <i r="3" i="1">
      <x v="1"/>
    </i>
    <i r="3" i="2">
      <x v="2"/>
    </i>
    <i t="blank" r="1">
      <x v="2"/>
    </i>
    <i r="1">
      <x v="3"/>
      <x v="1048832"/>
      <x/>
    </i>
    <i r="3" i="1">
      <x v="1"/>
    </i>
    <i r="3" i="2">
      <x v="2"/>
    </i>
    <i t="blank" r="1">
      <x v="3"/>
    </i>
    <i t="default">
      <x v="3"/>
    </i>
    <i t="default" i="1">
      <x v="3"/>
    </i>
    <i t="default" i="2">
      <x v="3"/>
    </i>
    <i t="blank">
      <x v="3"/>
    </i>
    <i>
      <x v="4"/>
      <x/>
      <x v="1048832"/>
      <x/>
    </i>
    <i r="3" i="1">
      <x v="1"/>
    </i>
    <i r="3" i="2">
      <x v="2"/>
    </i>
    <i t="blank" r="1">
      <x/>
    </i>
    <i t="default">
      <x v="4"/>
    </i>
    <i t="default" i="1">
      <x v="4"/>
    </i>
    <i t="default" i="2">
      <x v="4"/>
    </i>
    <i t="blank">
      <x v="4"/>
    </i>
    <i>
      <x v="5"/>
      <x v="4"/>
      <x v="1048832"/>
      <x/>
    </i>
    <i r="3" i="1">
      <x v="1"/>
    </i>
    <i r="3" i="2">
      <x v="2"/>
    </i>
    <i t="blank" r="1">
      <x v="4"/>
    </i>
    <i r="1">
      <x v="5"/>
      <x v="1048832"/>
      <x/>
    </i>
    <i r="3" i="1">
      <x v="1"/>
    </i>
    <i r="3" i="2">
      <x v="2"/>
    </i>
    <i t="blank" r="1">
      <x v="5"/>
    </i>
    <i r="1">
      <x v="6"/>
      <x v="1048832"/>
      <x/>
    </i>
    <i r="3" i="1">
      <x v="1"/>
    </i>
    <i r="3" i="2">
      <x v="2"/>
    </i>
    <i t="blank" r="1">
      <x v="6"/>
    </i>
    <i r="1">
      <x v="7"/>
      <x v="1048832"/>
      <x/>
    </i>
    <i r="3" i="1">
      <x v="1"/>
    </i>
    <i r="3" i="2">
      <x v="2"/>
    </i>
    <i t="blank" r="1">
      <x v="7"/>
    </i>
    <i r="1">
      <x v="8"/>
      <x v="1048832"/>
      <x/>
    </i>
    <i r="3" i="1">
      <x v="1"/>
    </i>
    <i r="3" i="2">
      <x v="2"/>
    </i>
    <i t="blank" r="1">
      <x v="8"/>
    </i>
    <i r="1">
      <x v="9"/>
      <x v="1048832"/>
      <x/>
    </i>
    <i r="3" i="1">
      <x v="1"/>
    </i>
    <i r="3" i="2">
      <x v="2"/>
    </i>
    <i t="blank" r="1">
      <x v="9"/>
    </i>
    <i t="default">
      <x v="5"/>
    </i>
    <i t="default" i="1">
      <x v="5"/>
    </i>
    <i t="default" i="2">
      <x v="5"/>
    </i>
    <i t="blank">
      <x v="5"/>
    </i>
    <i>
      <x v="6"/>
      <x/>
      <x v="1048832"/>
      <x/>
    </i>
    <i r="3" i="1">
      <x v="1"/>
    </i>
    <i r="3" i="2">
      <x v="2"/>
    </i>
    <i t="blank" r="1">
      <x/>
    </i>
    <i t="default">
      <x v="6"/>
    </i>
    <i t="default" i="1">
      <x v="6"/>
    </i>
    <i t="default" i="2">
      <x v="6"/>
    </i>
    <i t="blank">
      <x v="6"/>
    </i>
  </rowItems>
  <colFields count="3">
    <field x="5"/>
    <field x="6"/>
    <field x="7"/>
  </colFields>
  <colItems count="9">
    <i>
      <x/>
      <x/>
      <x/>
    </i>
    <i r="2">
      <x v="1"/>
    </i>
    <i r="2">
      <x v="2"/>
    </i>
    <i t="default" r="1">
      <x/>
    </i>
    <i r="1">
      <x v="1"/>
      <x v="3"/>
    </i>
    <i r="2">
      <x v="4"/>
    </i>
    <i r="2">
      <x v="5"/>
    </i>
    <i t="default" r="1">
      <x v="1"/>
    </i>
    <i t="default">
      <x/>
    </i>
  </colItems>
  <dataFields count="3">
    <dataField fld="3" subtotal="count" baseField="0" baseItem="0"/>
    <dataField fld="8" subtotal="count" baseField="0" baseItem="0"/>
    <dataField fld="4" subtotal="count" baseField="0" baseItem="0"/>
  </dataFields>
  <formats count="3">
    <format dxfId="35">
      <pivotArea dataOnly="0" labelOnly="1" outline="0" fieldPosition="0">
        <references count="1">
          <reference field="5" count="0"/>
        </references>
      </pivotArea>
    </format>
    <format dxfId="34">
      <pivotArea dataOnly="0" labelOnly="1" outline="0" fieldPosition="0">
        <references count="1">
          <reference field="6" count="0"/>
        </references>
      </pivotArea>
    </format>
    <format dxfId="33">
      <pivotArea dataOnly="0" labelOnly="1" outline="0" fieldPosition="0">
        <references count="1">
          <reference field="7" count="0"/>
        </references>
      </pivotArea>
    </format>
  </format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 2" showRowHeaders="1" showColHeaders="1" showRowStripes="0" showColStripes="0" showLastColumn="1"/>
  <filters count="1">
    <filter fld="5" type="dateBetween" evalOrder="-1" id="29" name="[Date].[Date]">
      <autoFilter ref="A1">
        <filterColumn colId="0">
          <customFilters and="1">
            <customFilter operator="greaterThanOrEqual" val="45658"/>
            <customFilter operator="lessThanOrEqual" val="458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4">
    <rowHierarchyUsage hierarchyUsage="27"/>
    <rowHierarchyUsage hierarchyUsage="28"/>
    <rowHierarchyUsage hierarchyUsage="29"/>
    <rowHierarchyUsage hierarchyUsage="-2"/>
  </rowHierarchiesUsage>
  <colHierarchiesUsage count="3">
    <colHierarchyUsage hierarchyUsage="17"/>
    <colHierarchyUsage hierarchyUsage="22"/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P_L]"/>
        <x15:activeTabTopLevelEntity name="[Date]"/>
        <x15:activeTabTopLevelEntity name="[Actuals1_1]"/>
        <x15:activeTabTopLevelEntity name="[Budget2_1]"/>
      </x15:pivotTableUISettings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A80F82A4-481E-4AC3-AA93-20120421C482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Year" tableColumnId="2"/>
      <queryTableField id="3" name="Month Number" tableColumnId="3"/>
      <queryTableField id="4" name="Month" tableColumnId="4"/>
      <queryTableField id="5" name="Year-Month" tableColumnId="5"/>
      <queryTableField id="6" name="Quarter" tableColumnId="6"/>
      <queryTableField id="7" name="Day" tableColumnId="7"/>
      <queryTableField id="8" name="Month short" tableColumnId="8"/>
      <queryTableField id="9" name="EndOfMonthDa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9345408B-8AEE-4A51-9FE3-F7D387BC10F4}" autoFormatId="16" applyNumberFormats="0" applyBorderFormats="0" applyFontFormats="0" applyPatternFormats="0" applyAlignmentFormats="0" applyWidthHeightFormats="0">
  <queryTableRefresh nextId="7">
    <queryTableFields count="5">
      <queryTableField id="1" name="Account" tableColumnId="1"/>
      <queryTableField id="2" name="Type" tableColumnId="2"/>
      <queryTableField id="3" name="Type1" tableColumnId="3"/>
      <queryTableField id="4" name="Name" tableColumnId="4"/>
      <queryTableField id="5" name="Ke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E888AB5-9FEF-409F-A97F-523391E80C77}" autoFormatId="16" applyNumberFormats="0" applyBorderFormats="0" applyFontFormats="0" applyPatternFormats="0" applyAlignmentFormats="0" applyWidthHeightFormats="0">
  <queryTableRefresh nextId="8">
    <queryTableFields count="7">
      <queryTableField id="1" name="Account" tableColumnId="1"/>
      <queryTableField id="2" name="Name" tableColumnId="2"/>
      <queryTableField id="3" name="Type" tableColumnId="3"/>
      <queryTableField id="4" name="Type1" tableColumnId="4"/>
      <queryTableField id="5" name="Period" tableColumnId="5"/>
      <queryTableField id="6" name="Value" tableColumnId="6"/>
      <queryTableField id="7" name="Key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9AADC56-6F0C-4CB5-AFAF-F39684254925}" autoFormatId="16" applyNumberFormats="0" applyBorderFormats="0" applyFontFormats="0" applyPatternFormats="0" applyAlignmentFormats="0" applyWidthHeightFormats="0">
  <queryTableRefresh nextId="17">
    <queryTableFields count="6">
      <queryTableField id="1" name="Type" tableColumnId="1"/>
      <queryTableField id="2" name="Type1" tableColumnId="2"/>
      <queryTableField id="14" name="Name" tableColumnId="11"/>
      <queryTableField id="3" name="Period" tableColumnId="3"/>
      <queryTableField id="12" name="Value" tableColumnId="10"/>
      <queryTableField id="16" name="Key1" tableColumnId="4"/>
    </queryTableFields>
    <queryTableDeletedFields count="3">
      <deletedField name="Indeks"/>
      <deletedField name="Key1"/>
      <deletedField name="Key1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Type" xr10:uid="{059BDF6D-737C-4E10-87ED-37B73CE4F824}" sourceName="[P_L].[Type]">
  <pivotTables>
    <pivotTable tabId="14" name="Overview"/>
  </pivotTables>
  <data>
    <olap pivotCacheId="1333317425">
      <levels count="2">
        <level uniqueName="[P_L].[Type].[(All)]" sourceCaption="(All)" count="0"/>
        <level uniqueName="[P_L].[Type].[Type]" sourceCaption="Type" count="7">
          <ranges>
            <range startItem="0">
              <i n="[P_L].[Type].&amp;[A. Revenue]" c="A. Revenue"/>
              <i n="[P_L].[Type].&amp;[B. COGS]" c="B. COGS"/>
              <i n="[P_L].[Type].&amp;[C. Gross Profit]" c="C. Gross Profit"/>
              <i n="[P_L].[Type].&amp;[D. Variable Costs]" c="D. Variable Costs"/>
              <i n="[P_L].[Type].&amp;[E. Contribution Profit]" c="E. Contribution Profit"/>
              <i n="[P_L].[Type].&amp;[F. OPEX]" c="F. OPEX"/>
              <i n="[P_L].[Type].&amp;[G. EBITDA]" c="G. EBITDA"/>
            </range>
          </ranges>
        </level>
      </levels>
      <selections count="1">
        <selection n="[P_L].[Typ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Type1" xr10:uid="{E6480770-9EE9-4CC3-AFD8-3840D75A83B9}" sourceName="[P_L].[Type1]">
  <pivotTables>
    <pivotTable tabId="14" name="Overview"/>
  </pivotTables>
  <data>
    <olap pivotCacheId="1333317425">
      <levels count="2">
        <level uniqueName="[P_L].[Type1].[(All)]" sourceCaption="(All)" count="0"/>
        <level uniqueName="[P_L].[Type1].[Type1]" sourceCaption="Type1" count="10">
          <ranges>
            <range startItem="0">
              <i n="[P_L].[Type1].&amp;" c="(puste)"/>
              <i n="[P_L].[Type1].&amp;[Consulting]" c="Consulting"/>
              <i n="[P_L].[Type1].&amp;[Distribution]" c="Distribution"/>
              <i n="[P_L].[Type1].&amp;[Insurances]" c="Insurances"/>
              <i n="[P_L].[Type1].&amp;[Labour]" c="Labour"/>
              <i n="[P_L].[Type1].&amp;[Marketing]" c="Marketing"/>
              <i n="[P_L].[Type1].&amp;[Payment]" c="Payment"/>
              <i n="[P_L].[Type1].&amp;[Rent]" c="Rent"/>
              <i n="[P_L].[Type1].&amp;[Travel]" c="Travel"/>
              <i n="[P_L].[Type1].&amp;[Warehouse]" c="Warehouse"/>
            </range>
          </ranges>
        </level>
      </levels>
      <selections count="1">
        <selection n="[P_L].[Type1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Name" xr10:uid="{793BAEE4-3135-44CD-A4D5-33B4282B450D}" sourceName="[P_L].[Name]">
  <pivotTables>
    <pivotTable tabId="14" name="Overview"/>
  </pivotTables>
  <data>
    <olap pivotCacheId="1333317425">
      <levels count="2">
        <level uniqueName="[P_L].[Name].[(All)]" sourceCaption="(All)" count="0"/>
        <level uniqueName="[P_L].[Name].[Name]" sourceCaption="Name" count="28">
          <ranges>
            <range startItem="0">
              <i n="[P_L].[Name].&amp;" c="(puste)"/>
              <i n="[P_L].[Name].&amp;[COGS (DE)]" c="COGS (DE)"/>
              <i n="[P_L].[Name].&amp;[COGS (NL)]" c="COGS (NL)"/>
              <i n="[P_L].[Name].&amp;[COGS (Others)]" c="COGS (Others)"/>
              <i n="[P_L].[Name].&amp;[COGS (PL)]" c="COGS (PL)"/>
              <i n="[P_L].[Name].&amp;[Consulting (BCG, KPMG, etc.)]" c="Consulting (BCG, KPMG, etc.)"/>
              <i n="[P_L].[Name].&amp;[Consulting (for different IT-Tools)]" c="Consulting (for different IT-Tools)"/>
              <i n="[P_L].[Name].&amp;[Distribution (Different Carriers)]" c="Distribution (Different Carriers)"/>
              <i n="[P_L].[Name].&amp;[Distribution (Package Material)]" c="Distribution (Package Material)"/>
              <i n="[P_L].[Name].&amp;[Insurance (Cyber Security)]" c="Insurance (Cyber Security)"/>
              <i n="[P_L].[Name].&amp;[Insurance (Legal Protection)]" c="Insurance (Legal Protection)"/>
              <i n="[P_L].[Name].&amp;[Insurance (Others)]" c="Insurance (Others)"/>
              <i n="[P_L].[Name].&amp;[Labour (Bonuses)]" c="Labour (Bonuses)"/>
              <i n="[P_L].[Name].&amp;[Labour (Salaries)]" c="Labour (Salaries)"/>
              <i n="[P_L].[Name].&amp;[Labour (Social Contributions)]" c="Labour (Social Contributions)"/>
              <i n="[P_L].[Name].&amp;[Marketing (Flyers)]" c="Marketing (Flyers)"/>
              <i n="[P_L].[Name].&amp;[Marketing (Google)]" c="Marketing (Google)"/>
              <i n="[P_L].[Name].&amp;[Marketing (Meta)]" c="Marketing (Meta)"/>
              <i n="[P_L].[Name].&amp;[Marketing (Print)]" c="Marketing (Print)"/>
              <i n="[P_L].[Name].&amp;[Marketing (TV)]" c="Marketing (TV)"/>
              <i n="[P_L].[Name].&amp;[Payment (Credit Card)]" c="Payment (Credit Card)"/>
              <i n="[P_L].[Name].&amp;[Payment (PayPal)]" c="Payment (PayPal)"/>
              <i n="[P_L].[Name].&amp;[Rent]" c="Rent"/>
              <i n="[P_L].[Name].&amp;[Revenue (DE)]" c="Revenue (DE)"/>
              <i n="[P_L].[Name].&amp;[Revenue (NL)]" c="Revenue (NL)"/>
              <i n="[P_L].[Name].&amp;[Revenue (PL)]" c="Revenue (PL)"/>
              <i n="[P_L].[Name].&amp;[Travel]" c="Travel"/>
              <i n="[P_L].[Name].&amp;[Warehouse]" c="Warehouse"/>
            </range>
          </ranges>
        </level>
      </levels>
      <selections count="1">
        <selection n="[P_L].[Name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Type2" xr10:uid="{C2C5EC11-7E7B-43A4-90C7-4C1F2099926F}" sourceName="[P_L].[Type]">
  <pivotTables>
    <pivotTable tabId="20" name="PeriodAnalysis"/>
  </pivotTables>
  <data>
    <olap pivotCacheId="646403393">
      <levels count="2">
        <level uniqueName="[P_L].[Type].[(All)]" sourceCaption="(All)" count="0"/>
        <level uniqueName="[P_L].[Type].[Type]" sourceCaption="Type" count="7">
          <ranges>
            <range startItem="0">
              <i n="[P_L].[Type].&amp;[A. Revenue]" c="A. Revenue"/>
              <i n="[P_L].[Type].&amp;[B. COGS]" c="B. COGS"/>
              <i n="[P_L].[Type].&amp;[C. Gross Profit]" c="C. Gross Profit"/>
              <i n="[P_L].[Type].&amp;[D. Variable Costs]" c="D. Variable Costs"/>
              <i n="[P_L].[Type].&amp;[E. Contribution Profit]" c="E. Contribution Profit"/>
              <i n="[P_L].[Type].&amp;[F. OPEX]" c="F. OPEX"/>
              <i n="[P_L].[Type].&amp;[G. EBITDA]" c="G. EBITDA"/>
            </range>
          </ranges>
        </level>
      </levels>
      <selections count="1">
        <selection n="[P_L].[Type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Type11" xr10:uid="{76924D4E-36BC-4D92-929B-4620CF84122D}" sourceName="[P_L].[Type1]">
  <pivotTables>
    <pivotTable tabId="20" name="PeriodAnalysis"/>
  </pivotTables>
  <data>
    <olap pivotCacheId="646403393">
      <levels count="2">
        <level uniqueName="[P_L].[Type1].[(All)]" sourceCaption="(All)" count="0"/>
        <level uniqueName="[P_L].[Type1].[Type1]" sourceCaption="Type1" count="10">
          <ranges>
            <range startItem="0">
              <i n="[P_L].[Type1].&amp;" c="(puste)"/>
              <i n="[P_L].[Type1].&amp;[Consulting]" c="Consulting"/>
              <i n="[P_L].[Type1].&amp;[Distribution]" c="Distribution"/>
              <i n="[P_L].[Type1].&amp;[Insurances]" c="Insurances"/>
              <i n="[P_L].[Type1].&amp;[Labour]" c="Labour"/>
              <i n="[P_L].[Type1].&amp;[Marketing]" c="Marketing"/>
              <i n="[P_L].[Type1].&amp;[Payment]" c="Payment"/>
              <i n="[P_L].[Type1].&amp;[Rent]" c="Rent"/>
              <i n="[P_L].[Type1].&amp;[Travel]" c="Travel"/>
              <i n="[P_L].[Type1].&amp;[Warehouse]" c="Warehouse"/>
            </range>
          </ranges>
        </level>
      </levels>
      <selections count="1">
        <selection n="[P_L].[Type1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Name1" xr10:uid="{DF92E307-2787-4D1C-AEB9-B4E2B3C2209D}" sourceName="[P_L].[Name]">
  <pivotTables>
    <pivotTable tabId="20" name="PeriodAnalysis"/>
  </pivotTables>
  <data>
    <olap pivotCacheId="646403393">
      <levels count="2">
        <level uniqueName="[P_L].[Name].[(All)]" sourceCaption="(All)" count="0"/>
        <level uniqueName="[P_L].[Name].[Name]" sourceCaption="Name" count="28">
          <ranges>
            <range startItem="0">
              <i n="[P_L].[Name].&amp;" c="(puste)"/>
              <i n="[P_L].[Name].&amp;[COGS (DE)]" c="COGS (DE)"/>
              <i n="[P_L].[Name].&amp;[COGS (NL)]" c="COGS (NL)"/>
              <i n="[P_L].[Name].&amp;[COGS (Others)]" c="COGS (Others)"/>
              <i n="[P_L].[Name].&amp;[COGS (PL)]" c="COGS (PL)"/>
              <i n="[P_L].[Name].&amp;[Consulting (BCG, KPMG, etc.)]" c="Consulting (BCG, KPMG, etc.)"/>
              <i n="[P_L].[Name].&amp;[Consulting (for different IT-Tools)]" c="Consulting (for different IT-Tools)"/>
              <i n="[P_L].[Name].&amp;[Distribution (Different Carriers)]" c="Distribution (Different Carriers)"/>
              <i n="[P_L].[Name].&amp;[Distribution (Package Material)]" c="Distribution (Package Material)"/>
              <i n="[P_L].[Name].&amp;[Insurance (Cyber Security)]" c="Insurance (Cyber Security)"/>
              <i n="[P_L].[Name].&amp;[Insurance (Legal Protection)]" c="Insurance (Legal Protection)"/>
              <i n="[P_L].[Name].&amp;[Insurance (Others)]" c="Insurance (Others)"/>
              <i n="[P_L].[Name].&amp;[Labour (Bonuses)]" c="Labour (Bonuses)"/>
              <i n="[P_L].[Name].&amp;[Labour (Salaries)]" c="Labour (Salaries)"/>
              <i n="[P_L].[Name].&amp;[Labour (Social Contributions)]" c="Labour (Social Contributions)"/>
              <i n="[P_L].[Name].&amp;[Marketing (Flyers)]" c="Marketing (Flyers)"/>
              <i n="[P_L].[Name].&amp;[Marketing (Google)]" c="Marketing (Google)"/>
              <i n="[P_L].[Name].&amp;[Marketing (Meta)]" c="Marketing (Meta)"/>
              <i n="[P_L].[Name].&amp;[Marketing (Print)]" c="Marketing (Print)"/>
              <i n="[P_L].[Name].&amp;[Marketing (TV)]" c="Marketing (TV)"/>
              <i n="[P_L].[Name].&amp;[Payment (Credit Card)]" c="Payment (Credit Card)"/>
              <i n="[P_L].[Name].&amp;[Payment (PayPal)]" c="Payment (PayPal)"/>
              <i n="[P_L].[Name].&amp;[Rent]" c="Rent"/>
              <i n="[P_L].[Name].&amp;[Revenue (DE)]" c="Revenue (DE)"/>
              <i n="[P_L].[Name].&amp;[Revenue (NL)]" c="Revenue (NL)"/>
              <i n="[P_L].[Name].&amp;[Revenue (PL)]" c="Revenue (PL)"/>
              <i n="[P_L].[Name].&amp;[Travel]" c="Travel"/>
              <i n="[P_L].[Name].&amp;[Warehouse]" c="Warehouse"/>
            </range>
          </ranges>
        </level>
      </levels>
      <selections count="1">
        <selection n="[P_L].[Nam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 1" xr10:uid="{D88EF771-A102-491E-B07E-4166D4A38070}" cache="Fragmentator_Type2" caption="Type" level="1" rowHeight="234950"/>
  <slicer name="Type1 1" xr10:uid="{661B4837-0663-4F75-B90B-34AA8DDDD7D6}" cache="Fragmentator_Type11" caption="Type1" level="1" rowHeight="234950"/>
  <slicer name="Name 1" xr10:uid="{C90F1030-0663-448C-9159-700BA56C4C8D}" cache="Fragmentator_Name1" caption="Name" level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" xr10:uid="{4857C659-F8E9-4FFA-B6D4-ACBB18F69A32}" cache="Fragmentator_Type" caption="Type" level="1" rowHeight="234950"/>
  <slicer name="Type1" xr10:uid="{E830A2F7-8A95-4130-8927-6F831F66CBF9}" cache="Fragmentator_Type1" caption="Type1" startItem="4" level="1" rowHeight="234950"/>
  <slicer name="Name" xr10:uid="{40A27A18-A478-42CB-9A1D-F36B4A8FEF76}" cache="Fragmentator_Name" caption="Name" level="1" rowHeight="2349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76BA135-02B8-43B3-83AF-9EFE6ABAE31B}" name="KPIs_list" displayName="KPIs_list" ref="M1:N9" totalsRowShown="0" headerRowDxfId="43" headerRowBorderDxfId="42" tableBorderDxfId="41">
  <autoFilter ref="M1:N9" xr:uid="{A76BA135-02B8-43B3-83AF-9EFE6ABAE31B}"/>
  <tableColumns count="2">
    <tableColumn id="1" xr3:uid="{FFB3A120-B501-4EA5-BBF7-6C637CD4FAC4}" name=" " dataDxfId="40"/>
    <tableColumn id="2" xr3:uid="{729083ED-33A2-4113-BB74-CC36E01B56F4}" name="KPI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72BEA6-3A8B-40D8-B192-9DFA64D11440}" name="Date" displayName="Date" ref="A1:I732" tableType="queryTable" totalsRowShown="0">
  <autoFilter ref="A1:I732" xr:uid="{FF72BEA6-3A8B-40D8-B192-9DFA64D11440}"/>
  <tableColumns count="9">
    <tableColumn id="1" xr3:uid="{5095738F-780B-4CC5-AEBD-9E06F24AC85B}" uniqueName="1" name="Date" queryTableFieldId="1" dataDxfId="32"/>
    <tableColumn id="2" xr3:uid="{FDB2CCE1-AEAF-4F86-BB94-43DB4D661922}" uniqueName="2" name="Year" queryTableFieldId="2"/>
    <tableColumn id="3" xr3:uid="{9E7DB385-4ADC-4E91-B71E-1393C44131AD}" uniqueName="3" name="Month Number" queryTableFieldId="3"/>
    <tableColumn id="4" xr3:uid="{05A8C5C8-6EDA-43F1-B0CB-7BFBE168EA74}" uniqueName="4" name="Month" queryTableFieldId="4"/>
    <tableColumn id="5" xr3:uid="{CFAB605B-8A43-4229-B483-0678544C4CA9}" uniqueName="5" name="Year-Month" queryTableFieldId="5"/>
    <tableColumn id="6" xr3:uid="{76C9D66B-BE59-460A-BA3C-BE2FA5BFE52B}" uniqueName="6" name="Quarter" queryTableFieldId="6"/>
    <tableColumn id="7" xr3:uid="{D9C4E633-5EF6-4644-AC50-781DD4BE9CD9}" uniqueName="7" name="Day" queryTableFieldId="7"/>
    <tableColumn id="8" xr3:uid="{0DD8CB9A-429F-4CCA-8312-AA12249C0FEE}" uniqueName="8" name="Month short" queryTableFieldId="8"/>
    <tableColumn id="9" xr3:uid="{9D2F1144-CDE4-4CD7-8D09-51E54EECA3B7}" uniqueName="9" name="EndOfMonthDate" queryTableFieldId="9" dataDxf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6D7ADA-D330-4656-AC7C-A6119D6C31E4}" name="P_L" displayName="P_L" ref="A1:E31" tableType="queryTable" totalsRowShown="0">
  <autoFilter ref="A1:E31" xr:uid="{296D7ADA-D330-4656-AC7C-A6119D6C31E4}"/>
  <tableColumns count="5">
    <tableColumn id="1" xr3:uid="{BC3406ED-9CFD-4313-9D31-FDAE6A5F3813}" uniqueName="1" name="Account" queryTableFieldId="1"/>
    <tableColumn id="2" xr3:uid="{73709855-4DED-4B5E-828B-C813012695F3}" uniqueName="2" name="Type" queryTableFieldId="2" dataDxfId="30"/>
    <tableColumn id="3" xr3:uid="{44CBA574-BC70-435C-88C9-49C8A96C923B}" uniqueName="3" name="Type1" queryTableFieldId="3" dataDxfId="29"/>
    <tableColumn id="4" xr3:uid="{DDD89AA8-8CD9-4FCF-AE13-5F0C9E02E096}" uniqueName="4" name="Name" queryTableFieldId="4" dataDxfId="28"/>
    <tableColumn id="5" xr3:uid="{E493F982-D891-4F57-BC92-716A7E2AEDF8}" uniqueName="5" name="Key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2FB05F-786B-4515-B710-EEE54393363D}" name="Actuals1_1" displayName="Actuals1_1" ref="A1:G1027" tableType="queryTable" totalsRowShown="0">
  <autoFilter ref="A1:G1027" xr:uid="{0D2FB05F-786B-4515-B710-EEE54393363D}"/>
  <tableColumns count="7">
    <tableColumn id="1" xr3:uid="{028DF2CD-A7FA-47C8-82F5-0318C43CE8C1}" uniqueName="1" name="Account" queryTableFieldId="1"/>
    <tableColumn id="2" xr3:uid="{4058EEEB-8098-446F-980D-653C2CD33DD5}" uniqueName="2" name="Name" queryTableFieldId="2" dataDxfId="27"/>
    <tableColumn id="3" xr3:uid="{6002915D-A7D7-444A-B9CA-9B33BFDE9B00}" uniqueName="3" name="Type" queryTableFieldId="3" dataDxfId="26"/>
    <tableColumn id="4" xr3:uid="{4115952F-9165-4AF2-9552-A3FEBD5E0926}" uniqueName="4" name="Type1" queryTableFieldId="4" dataDxfId="25"/>
    <tableColumn id="5" xr3:uid="{B91DB92E-3A5C-4BD8-BD7F-2432805F28D0}" uniqueName="5" name="Period" queryTableFieldId="5" dataDxfId="24"/>
    <tableColumn id="6" xr3:uid="{17E3408A-ECF0-437E-A039-E4BC21130BCB}" uniqueName="6" name="Value" queryTableFieldId="6"/>
    <tableColumn id="7" xr3:uid="{334F8DC8-F96C-4AFE-819B-D8149DCD6F17}" uniqueName="7" name="Key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2080C9-AC6F-4BB4-8541-CDCEEBC68824}" name="Budget2_1" displayName="Budget2_1" ref="A1:F169" tableType="queryTable" totalsRowShown="0">
  <autoFilter ref="A1:F169" xr:uid="{4F2080C9-AC6F-4BB4-8541-CDCEEBC68824}"/>
  <tableColumns count="6">
    <tableColumn id="1" xr3:uid="{91679BE1-50C6-4E2B-B885-1A801881E8E4}" uniqueName="1" name="Type" queryTableFieldId="1" dataDxfId="23"/>
    <tableColumn id="2" xr3:uid="{8AA5A569-D1F3-4E33-B368-587C7896029D}" uniqueName="2" name="Type1" queryTableFieldId="2" dataDxfId="22"/>
    <tableColumn id="11" xr3:uid="{A757B302-C21E-465F-B124-46BEFD300042}" uniqueName="11" name="Name" queryTableFieldId="14"/>
    <tableColumn id="3" xr3:uid="{822F0DF2-1913-4A6C-8E85-BC2356557CAD}" uniqueName="3" name="Period" queryTableFieldId="3" dataDxfId="21"/>
    <tableColumn id="10" xr3:uid="{C5E9ABAE-A5CA-492F-ABDE-3E24AE55B28A}" uniqueName="10" name="Value" queryTableFieldId="12"/>
    <tableColumn id="4" xr3:uid="{68497319-3CC8-4138-896F-36AFE2F9E706}" uniqueName="4" name="Key1" queryTableField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D0EBFB-198F-47F6-8FE6-EE091C89D081}" name="Actuals1" displayName="Actuals1" ref="A1:V58" totalsRowShown="0">
  <autoFilter ref="A1:V58" xr:uid="{A7D0EBFB-198F-47F6-8FE6-EE091C89D081}"/>
  <tableColumns count="22">
    <tableColumn id="1" xr3:uid="{A03C0AE1-EDAC-4885-8D90-DB5C3E882045}" name="Account"/>
    <tableColumn id="2" xr3:uid="{B310A5B8-D883-417F-BC67-C3F282D67F76}" name="Name"/>
    <tableColumn id="3" xr3:uid="{E3D14C1B-1F0C-4B73-A9D7-8295906559E3}" name="Type"/>
    <tableColumn id="4" xr3:uid="{3D205B48-FE1D-4296-9081-FA6BAF4EC2A4}" name="Type1"/>
    <tableColumn id="5" xr3:uid="{7C3C27F9-8672-42AA-AFF1-01EC35C27D38}" name="2024-01"/>
    <tableColumn id="6" xr3:uid="{DEA6B107-C3F4-49D2-A8C0-894FEC574849}" name="2024-02"/>
    <tableColumn id="7" xr3:uid="{F7395022-51CC-45FC-B0C0-BB6107B7877E}" name="2024-03"/>
    <tableColumn id="8" xr3:uid="{D9C754DE-9EC4-44FE-A9F7-27370CEBD9EF}" name="2024-04"/>
    <tableColumn id="9" xr3:uid="{CC8D83E6-6F97-4B46-9120-407F5837682C}" name="2024-05"/>
    <tableColumn id="10" xr3:uid="{F53C6CD7-B28D-4A2C-9AC1-F87F3B6B1EA2}" name="2024-06"/>
    <tableColumn id="11" xr3:uid="{FE54F616-2CF5-4C00-AA93-A283346B2600}" name="2024-07"/>
    <tableColumn id="12" xr3:uid="{49D5825D-72AB-4FCA-AE44-427F6C8D21E8}" name="2024-08"/>
    <tableColumn id="13" xr3:uid="{576F8A19-F567-4E5A-B716-F1686D56BEFE}" name="2024-09"/>
    <tableColumn id="14" xr3:uid="{09873855-399C-4D54-A68F-A4239CD177AF}" name="2024-10"/>
    <tableColumn id="15" xr3:uid="{C9042D79-148B-442F-A5EE-84E311B4526C}" name="2024-11"/>
    <tableColumn id="16" xr3:uid="{F50B4085-E9E1-4A77-8C28-3A30AF498BBA}" name="2024-12"/>
    <tableColumn id="17" xr3:uid="{FBFEF709-52A2-4F17-9E68-B15595D45BB6}" name="2025-01"/>
    <tableColumn id="18" xr3:uid="{7800C69E-BC8B-4CBA-80E5-740EC44FA599}" name="2025-02"/>
    <tableColumn id="19" xr3:uid="{08966C52-6545-47E0-80F6-521ACF28B647}" name="2025-03"/>
    <tableColumn id="20" xr3:uid="{9ACB89A5-AF26-4793-9B9B-0105A14160A4}" name="2025-04"/>
    <tableColumn id="21" xr3:uid="{01DDA3BC-DA38-4337-BA77-BB130FBAFBC9}" name="2025-05"/>
    <tableColumn id="22" xr3:uid="{84C99A12-B3D4-4106-A874-409D820BE62C}" name="2025-0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ED112E-8BFF-4BDF-9F8C-2E08696FE79F}" name="Budget2" displayName="Budget2" ref="A1:O15" totalsRowShown="0">
  <autoFilter ref="A1:O15" xr:uid="{F3ED112E-8BFF-4BDF-9F8C-2E08696FE79F}"/>
  <tableColumns count="15">
    <tableColumn id="1" xr3:uid="{55E5AEA7-C673-42FD-BDB4-B88F915ED33E}" name="Type"/>
    <tableColumn id="2" xr3:uid="{EEC242E5-A15F-4E87-A711-3F4840B0B258}" name="Type1"/>
    <tableColumn id="15" xr3:uid="{0844DBDB-3F5C-47FC-8501-C40F8C48D821}" name="Name" dataDxfId="20"/>
    <tableColumn id="3" xr3:uid="{995FB51C-94E4-42BB-8C32-DAAF86C0C226}" name="2025-01"/>
    <tableColumn id="4" xr3:uid="{0F2E7835-6DA5-4B30-9079-C09B4F76D35F}" name="2025-02"/>
    <tableColumn id="5" xr3:uid="{CAADCE5D-3238-47F5-AF8B-ABA964174055}" name="2025-03"/>
    <tableColumn id="6" xr3:uid="{E053C294-3D22-4A04-907D-82BC8D5D657A}" name="2025-04"/>
    <tableColumn id="7" xr3:uid="{B37D8B62-9D59-4D5C-AF84-DAAADB0A3020}" name="2025-05"/>
    <tableColumn id="8" xr3:uid="{A9060D06-E8B1-4049-92FA-E7727F4E3B77}" name="2025-06"/>
    <tableColumn id="9" xr3:uid="{94C0A63C-0BED-4ED8-859E-9B7C88ECB10C}" name="2025-07"/>
    <tableColumn id="10" xr3:uid="{37958181-08B9-4E19-9450-514E0DDE6644}" name="2025-08"/>
    <tableColumn id="11" xr3:uid="{8F0F1430-B577-4D08-A9A4-7A68B61B22EE}" name="2025-09"/>
    <tableColumn id="12" xr3:uid="{50E2B015-46EC-4813-93A1-0EFC94A741B3}" name="2025-10"/>
    <tableColumn id="13" xr3:uid="{7FBEE775-F3A7-4AD5-9747-1033401342AC}" name="2025-11"/>
    <tableColumn id="14" xr3:uid="{ADEA5536-AC3B-4B23-AD16-0192EA5757C4}" name="2025-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57617-5967-40C3-91A4-9F2329AD19C6}" name="Accounts" displayName="Accounts" ref="A1:B28" totalsRowShown="0">
  <autoFilter ref="A1:B28" xr:uid="{79A57617-5967-40C3-91A4-9F2329AD19C6}"/>
  <tableColumns count="2">
    <tableColumn id="1" xr3:uid="{4072970E-429D-4471-9FBE-7A3674FF1549}" name="Account" dataDxfId="19"/>
    <tableColumn id="2" xr3:uid="{85293BC4-D031-4F4D-9A3E-5A23E647AEEE}" name="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314B9A-A7B4-475D-AD2D-9C1FCBF27C94}" name="Actuals" displayName="Actuals" ref="A1:V58" totalsRowShown="0" headerRowDxfId="18">
  <autoFilter ref="A1:V58" xr:uid="{16657F3D-1DE6-4548-BB43-ADD28A3A211A}"/>
  <tableColumns count="22">
    <tableColumn id="2" xr3:uid="{AEC87260-39D5-4128-92BF-5C757BBD57AD}" name="Account" dataDxfId="17"/>
    <tableColumn id="1" xr3:uid="{9F29D9A7-C1C0-46C0-8A7B-2271EDD62FD0}" name="Name" dataDxfId="16">
      <calculatedColumnFormula>_xlfn.XLOOKUP(Actuals[[#This Row],[Account]],Accounts[Account],Accounts[Name])</calculatedColumnFormula>
    </tableColumn>
    <tableColumn id="22" xr3:uid="{5C8A3446-9E75-44A6-8552-0D08A3D52BE6}" name="Type" dataDxfId="15"/>
    <tableColumn id="21" xr3:uid="{E9587855-4F66-4F1E-B708-4013E8342C07}" name="Type1" dataDxfId="14"/>
    <tableColumn id="3" xr3:uid="{F452AB90-FEAC-4F88-962C-B64B3577A2EF}" name="2024-01"/>
    <tableColumn id="4" xr3:uid="{D2208F91-79DD-4F5C-BB39-4F6A4B07926D}" name="2024-02"/>
    <tableColumn id="5" xr3:uid="{FCC4C43A-FD4E-41C8-A909-58C4C9749DB3}" name="2024-03"/>
    <tableColumn id="6" xr3:uid="{B21791D7-1E99-417C-9D7F-432997049598}" name="2024-04"/>
    <tableColumn id="7" xr3:uid="{3361FF6B-9A34-4308-976E-70AEFDA29877}" name="2024-05"/>
    <tableColumn id="8" xr3:uid="{C7D2B8B3-2D6C-4AC0-9BE8-426E7193BB4B}" name="2024-06"/>
    <tableColumn id="9" xr3:uid="{2446CEAA-0DF1-4F63-B1A0-B7DD6D635801}" name="2024-07"/>
    <tableColumn id="10" xr3:uid="{A24C4F65-CFF6-4251-BF34-600461895BBC}" name="2024-08"/>
    <tableColumn id="11" xr3:uid="{0791E127-6502-4609-BB29-D12B669AE724}" name="2024-09"/>
    <tableColumn id="12" xr3:uid="{B2DFEB62-F0D9-44A2-A5C1-E4CDAD9E9328}" name="2024-10"/>
    <tableColumn id="13" xr3:uid="{78071BE2-854E-4AE2-AC17-D211DE04C406}" name="2024-11"/>
    <tableColumn id="14" xr3:uid="{9E69C76C-7425-4BFE-A457-B54857C55342}" name="2024-12"/>
    <tableColumn id="15" xr3:uid="{9C0C85A4-2D0F-404F-9144-7FDD743BF22D}" name="2025-01"/>
    <tableColumn id="16" xr3:uid="{D4E504B9-A439-4FDA-90E1-81A63D99201B}" name="2025-02"/>
    <tableColumn id="17" xr3:uid="{88B161AB-657B-412A-8D7F-DCEB2C248084}" name="2025-03"/>
    <tableColumn id="18" xr3:uid="{73A36481-D963-4EE0-B8DD-FECC1EF078CC}" name="2025-04"/>
    <tableColumn id="19" xr3:uid="{818F8350-819F-45CC-8DF9-3C6E0ACBFA0D}" name="2025-05"/>
    <tableColumn id="20" xr3:uid="{166DF30B-0E42-4EED-A85B-FC8B79CE8581}" name="2025-0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76FCE-93A0-43E0-92CC-30410BEFF7CB}" name="Budget" displayName="Budget" ref="A3:N17" totalsRowShown="0" headerRowDxfId="13" tableBorderDxfId="12">
  <autoFilter ref="A3:N17" xr:uid="{3EC76FCE-93A0-43E0-92CC-30410BEFF7CB}"/>
  <tableColumns count="14">
    <tableColumn id="1" xr3:uid="{FBCE9959-AC44-4541-8FFF-2299AC4417F1}" name="Type"/>
    <tableColumn id="2" xr3:uid="{C23CF977-B120-4337-B817-18088CD8E4B1}" name="Type1"/>
    <tableColumn id="3" xr3:uid="{E2365E8E-374F-40DE-B904-85F352F16244}" name="2025-01" dataDxfId="11"/>
    <tableColumn id="4" xr3:uid="{4C702E50-6CF7-4969-86BF-76A9EC57B0A2}" name="2025-02" dataDxfId="10"/>
    <tableColumn id="5" xr3:uid="{810DC014-C7BE-4D92-AD1E-DC9D34F7612C}" name="2025-03" dataDxfId="9"/>
    <tableColumn id="6" xr3:uid="{FA9FC351-0090-42D5-8273-741E368C35F0}" name="2025-04" dataDxfId="8"/>
    <tableColumn id="7" xr3:uid="{BA627B3D-D8A7-474E-845A-F9EDF56977F6}" name="2025-05" dataDxfId="7"/>
    <tableColumn id="8" xr3:uid="{45F84561-1903-4C6E-9146-57C93EB31586}" name="2025-06" dataDxfId="6"/>
    <tableColumn id="9" xr3:uid="{9FEF267C-1C92-47CF-A354-134D7F0F98BA}" name="2025-07" dataDxfId="5"/>
    <tableColumn id="10" xr3:uid="{319006B2-B388-4D3F-BA90-00B10F612E36}" name="2025-08" dataDxfId="4"/>
    <tableColumn id="11" xr3:uid="{0406CA81-C847-4A06-85CC-8EFAA4C30D1A}" name="2025-09" dataDxfId="3"/>
    <tableColumn id="12" xr3:uid="{9A2E70F3-6259-4E36-8A99-5C9091053265}" name="2025-10" dataDxfId="2"/>
    <tableColumn id="13" xr3:uid="{0D58D62B-A0BE-4D97-ABDC-FCAA3E548A1D}" name="2025-11" dataDxfId="1"/>
    <tableColumn id="14" xr3:uid="{3F09362E-607A-4C4E-A26B-F3292D4CA3C6}" name="2025-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OśCzasu_Date" xr10:uid="{9F43DB13-2149-4FE8-94F1-16E696A99830}" sourceName="[Date].[Date]">
  <pivotTables>
    <pivotTable tabId="14" name="Overview"/>
    <pivotTable tabId="18" name="Overview1"/>
  </pivotTables>
  <state minimalRefreshVersion="6" lastRefreshVersion="6" pivotCacheId="404254599" filterType="dateBetween">
    <selection startDate="2025-01-01T00:00:00" endDate="2025-06-30T00:00:00"/>
    <bounds startDate="2024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OśCzasu_Date1" xr10:uid="{CFAA2C22-6FCE-49C2-9CA8-88BDA7A4CCBF}" sourceName="[Date].[Date]">
  <pivotTables>
    <pivotTable tabId="19" name="KPIs"/>
    <pivotTable tabId="18" name="KPIs1"/>
  </pivotTables>
  <state minimalRefreshVersion="6" lastRefreshVersion="6" pivotCacheId="1355323121" filterType="dateBetween">
    <selection startDate="2025-01-01T00:00:00" endDate="2025-06-30T00:00:00"/>
    <bounds startDate="2024-01-01T00:00:00" endDate="2026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OśCzasu_Date2" xr10:uid="{0A596DB9-5EC0-4B7B-9F11-34A93C920106}" sourceName="[Date].[Date]">
  <pivotTables>
    <pivotTable tabId="20" name="PeriodAnalysis"/>
    <pivotTable tabId="18" name="PeriodAnalysis1"/>
  </pivotTables>
  <state minimalRefreshVersion="6" lastRefreshVersion="6" pivotCacheId="823429200" filterType="dateBetween">
    <selection startDate="2025-01-01T00:00:00" endDate="2025-06-30T00:00:00"/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9FF9ED7A-68ED-4D55-A262-2ACA8C7E6D29}" cache="OśCzasu_Date1" caption="Date" level="1" selectionLevel="1" scrollPosition="2024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2" xr10:uid="{BB96290C-D21A-4E36-8D60-6A4E70595ADE}" cache="OśCzasu_Date2" caption="Date" level="1" selectionLevel="1" scrollPosition="2024-01-01T00:00:00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6BDF1703-D30A-45B9-A35B-21F64885DB19}" cache="OśCzasu_Date" caption="Date" level="1" selectionLevel="1" scrollPosition="2024-01-01T00:00:00"/>
</timeline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Relationship Id="rId4" Type="http://schemas.microsoft.com/office/2011/relationships/timeline" Target="../timelines/timelin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Relationship Id="rId4" Type="http://schemas.microsoft.com/office/2011/relationships/timeline" Target="../timelines/timelin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Relationship Id="rId4" Type="http://schemas.microsoft.com/office/2011/relationships/timeline" Target="../timelines/timelin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D4DF-3D9C-401D-B8BD-C7D49BFB8507}">
  <sheetPr>
    <tabColor rgb="FF00B05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2355-7D4B-488D-8882-33E43EA60D98}">
  <dimension ref="A1:AG18"/>
  <sheetViews>
    <sheetView topLeftCell="T1" zoomScale="80" zoomScaleNormal="80" workbookViewId="0">
      <selection activeCell="W2" sqref="W2"/>
    </sheetView>
  </sheetViews>
  <sheetFormatPr defaultRowHeight="14.4" x14ac:dyDescent="0.3"/>
  <cols>
    <col min="1" max="1" width="14" bestFit="1" customWidth="1"/>
    <col min="2" max="2" width="9.6640625" bestFit="1" customWidth="1"/>
    <col min="3" max="5" width="8.21875" bestFit="1" customWidth="1"/>
    <col min="6" max="6" width="8.88671875" bestFit="1" customWidth="1"/>
    <col min="7" max="9" width="9.88671875" bestFit="1" customWidth="1"/>
    <col min="10" max="10" width="13.77734375" bestFit="1" customWidth="1"/>
    <col min="11" max="11" width="16.33203125" bestFit="1" customWidth="1"/>
    <col min="12" max="12" width="13.6640625" bestFit="1" customWidth="1"/>
    <col min="13" max="15" width="8.21875" bestFit="1" customWidth="1"/>
    <col min="16" max="16" width="8.88671875" bestFit="1" customWidth="1"/>
    <col min="17" max="17" width="6.21875" bestFit="1" customWidth="1"/>
    <col min="18" max="18" width="7.6640625" bestFit="1" customWidth="1"/>
    <col min="19" max="19" width="19.44140625" bestFit="1" customWidth="1"/>
    <col min="20" max="21" width="13.6640625" bestFit="1" customWidth="1"/>
    <col min="22" max="22" width="29.5546875" bestFit="1" customWidth="1"/>
    <col min="23" max="23" width="14" bestFit="1" customWidth="1"/>
    <col min="24" max="24" width="10.44140625" bestFit="1" customWidth="1"/>
    <col min="25" max="25" width="14.44140625" bestFit="1" customWidth="1"/>
    <col min="26" max="26" width="16.21875" bestFit="1" customWidth="1"/>
    <col min="27" max="27" width="14.88671875" bestFit="1" customWidth="1"/>
    <col min="28" max="28" width="40.6640625" bestFit="1" customWidth="1"/>
    <col min="29" max="29" width="44.6640625" bestFit="1" customWidth="1"/>
    <col min="30" max="30" width="31.21875" bestFit="1" customWidth="1"/>
    <col min="31" max="31" width="34.44140625" bestFit="1" customWidth="1"/>
    <col min="32" max="32" width="36.33203125" bestFit="1" customWidth="1"/>
    <col min="33" max="33" width="40.44140625" bestFit="1" customWidth="1"/>
    <col min="34" max="78" width="44.6640625" bestFit="1" customWidth="1"/>
    <col min="79" max="79" width="19.109375" bestFit="1" customWidth="1"/>
    <col min="80" max="80" width="17.77734375" bestFit="1" customWidth="1"/>
    <col min="81" max="81" width="43.5546875" bestFit="1" customWidth="1"/>
    <col min="82" max="82" width="47.6640625" bestFit="1" customWidth="1"/>
    <col min="83" max="83" width="34.109375" bestFit="1" customWidth="1"/>
    <col min="84" max="84" width="37.33203125" bestFit="1" customWidth="1"/>
    <col min="85" max="85" width="39.33203125" bestFit="1" customWidth="1"/>
    <col min="86" max="86" width="43.33203125" bestFit="1" customWidth="1"/>
    <col min="87" max="87" width="20.77734375" bestFit="1" customWidth="1"/>
    <col min="88" max="88" width="19.33203125" bestFit="1" customWidth="1"/>
    <col min="89" max="89" width="45.21875" bestFit="1" customWidth="1"/>
    <col min="90" max="90" width="49.33203125" bestFit="1" customWidth="1"/>
    <col min="91" max="91" width="35.6640625" bestFit="1" customWidth="1"/>
    <col min="92" max="92" width="38.88671875" bestFit="1" customWidth="1"/>
    <col min="93" max="93" width="41" bestFit="1" customWidth="1"/>
    <col min="94" max="94" width="45" bestFit="1" customWidth="1"/>
    <col min="95" max="95" width="16.33203125" bestFit="1" customWidth="1"/>
    <col min="96" max="96" width="13.6640625" bestFit="1" customWidth="1"/>
    <col min="97" max="97" width="13.33203125" bestFit="1" customWidth="1"/>
    <col min="98" max="98" width="14" bestFit="1" customWidth="1"/>
    <col min="99" max="99" width="16.33203125" bestFit="1" customWidth="1"/>
    <col min="100" max="100" width="13.6640625" bestFit="1" customWidth="1"/>
  </cols>
  <sheetData>
    <row r="1" spans="1:33" x14ac:dyDescent="0.3">
      <c r="A1" s="14" t="s">
        <v>99</v>
      </c>
      <c r="B1" t="s" vm="1">
        <v>162</v>
      </c>
      <c r="K1" s="14" t="s">
        <v>99</v>
      </c>
      <c r="L1" t="s" vm="1">
        <v>162</v>
      </c>
      <c r="W1" s="14" t="s">
        <v>99</v>
      </c>
      <c r="X1" t="s" vm="1">
        <v>162</v>
      </c>
    </row>
    <row r="3" spans="1:33" x14ac:dyDescent="0.3">
      <c r="A3" s="14" t="s">
        <v>1</v>
      </c>
      <c r="B3" s="14" t="s">
        <v>100</v>
      </c>
      <c r="C3" s="14" t="s">
        <v>102</v>
      </c>
      <c r="D3" s="14" t="s">
        <v>85</v>
      </c>
      <c r="E3" s="14" t="s">
        <v>86</v>
      </c>
      <c r="F3" s="14" t="s">
        <v>28</v>
      </c>
      <c r="G3" t="s">
        <v>150</v>
      </c>
      <c r="H3" t="s">
        <v>151</v>
      </c>
      <c r="I3" t="s">
        <v>152</v>
      </c>
      <c r="K3" s="14" t="s">
        <v>1</v>
      </c>
      <c r="L3" s="14" t="s">
        <v>100</v>
      </c>
      <c r="M3" s="14" t="s">
        <v>102</v>
      </c>
      <c r="N3" s="14" t="s">
        <v>85</v>
      </c>
      <c r="O3" s="14" t="s">
        <v>86</v>
      </c>
      <c r="P3" s="14" t="s">
        <v>28</v>
      </c>
      <c r="Q3" t="s">
        <v>157</v>
      </c>
      <c r="R3" t="s">
        <v>158</v>
      </c>
      <c r="S3" t="s">
        <v>153</v>
      </c>
      <c r="W3" s="14" t="s">
        <v>1</v>
      </c>
      <c r="X3" s="14" t="s">
        <v>100</v>
      </c>
      <c r="Y3" s="14" t="s">
        <v>102</v>
      </c>
      <c r="Z3" t="s">
        <v>163</v>
      </c>
      <c r="AA3" t="s">
        <v>164</v>
      </c>
      <c r="AB3" t="s">
        <v>180</v>
      </c>
      <c r="AC3" t="s">
        <v>182</v>
      </c>
      <c r="AD3" t="s">
        <v>184</v>
      </c>
      <c r="AE3" t="s">
        <v>186</v>
      </c>
      <c r="AF3" t="s">
        <v>189</v>
      </c>
      <c r="AG3" t="s">
        <v>190</v>
      </c>
    </row>
    <row r="4" spans="1:33" x14ac:dyDescent="0.3">
      <c r="A4">
        <v>2025</v>
      </c>
      <c r="B4" t="s">
        <v>104</v>
      </c>
      <c r="C4" t="s">
        <v>105</v>
      </c>
      <c r="D4" t="s">
        <v>88</v>
      </c>
      <c r="G4" s="6">
        <v>11180487.919501809</v>
      </c>
      <c r="H4" s="6">
        <v>10999311.522297632</v>
      </c>
      <c r="I4" s="6">
        <v>11379260.8894787</v>
      </c>
      <c r="K4">
        <v>2025</v>
      </c>
      <c r="L4" t="s">
        <v>104</v>
      </c>
      <c r="M4" t="s">
        <v>105</v>
      </c>
      <c r="N4" t="s">
        <v>91</v>
      </c>
      <c r="Q4" s="17">
        <v>1.0151039575352585</v>
      </c>
      <c r="R4" s="17">
        <v>0.95198824027034323</v>
      </c>
      <c r="S4" s="17">
        <v>1.6374804658461806E-3</v>
      </c>
      <c r="W4">
        <v>2025</v>
      </c>
      <c r="X4" t="s">
        <v>104</v>
      </c>
      <c r="Y4" t="s">
        <v>105</v>
      </c>
      <c r="Z4" s="19">
        <v>1.016471612503828</v>
      </c>
      <c r="AA4" s="17">
        <v>0.98253199641809097</v>
      </c>
      <c r="AB4" s="17">
        <v>1.0063105329925386</v>
      </c>
      <c r="AC4" s="17">
        <v>0.97299380278753955</v>
      </c>
      <c r="AD4" s="17">
        <v>-33.976982050800359</v>
      </c>
      <c r="AE4" s="17">
        <v>-2.9676571347901968</v>
      </c>
      <c r="AF4" s="17">
        <v>0.99603925474385213</v>
      </c>
      <c r="AG4" s="17">
        <v>1.0179156086584831</v>
      </c>
    </row>
    <row r="5" spans="1:33" x14ac:dyDescent="0.3">
      <c r="C5" t="s">
        <v>106</v>
      </c>
      <c r="D5" t="s">
        <v>88</v>
      </c>
      <c r="G5" s="6">
        <v>14710137.40487688</v>
      </c>
      <c r="H5" s="6">
        <v>14453912.400676774</v>
      </c>
      <c r="I5" s="6">
        <v>14940672.2705267</v>
      </c>
      <c r="M5" t="s">
        <v>221</v>
      </c>
      <c r="Q5" s="17">
        <v>1.0151039575352585</v>
      </c>
      <c r="R5" s="17">
        <v>0.95198824027034323</v>
      </c>
      <c r="S5" s="17">
        <v>1.6374804658461806E-3</v>
      </c>
      <c r="Y5" t="s">
        <v>106</v>
      </c>
      <c r="Z5" s="19">
        <v>1.0177270345285965</v>
      </c>
      <c r="AA5" s="17">
        <v>0.9845699804215241</v>
      </c>
      <c r="AB5" s="17">
        <v>1.0049133579517775</v>
      </c>
      <c r="AC5" s="17">
        <v>0.97242219653600259</v>
      </c>
      <c r="AD5" s="17">
        <v>0.29838670608055368</v>
      </c>
      <c r="AE5" s="17">
        <v>0.25706116899580844</v>
      </c>
      <c r="AF5" s="17">
        <v>0.99689141475067389</v>
      </c>
      <c r="AG5" s="17">
        <v>1.0184203128522933</v>
      </c>
    </row>
    <row r="6" spans="1:33" x14ac:dyDescent="0.3">
      <c r="C6" t="s">
        <v>107</v>
      </c>
      <c r="D6" t="s">
        <v>88</v>
      </c>
      <c r="G6" s="6">
        <v>17618862.723317988</v>
      </c>
      <c r="H6" s="6">
        <v>19635609.36875074</v>
      </c>
      <c r="I6" s="6">
        <v>20325399.297635801</v>
      </c>
      <c r="M6" t="s">
        <v>106</v>
      </c>
      <c r="N6" t="s">
        <v>91</v>
      </c>
      <c r="Q6" s="17">
        <v>1.0088465600724243</v>
      </c>
      <c r="R6" s="17">
        <v>0.99313707568790288</v>
      </c>
      <c r="S6" s="17">
        <v>-1.6182768045514629E-3</v>
      </c>
      <c r="Y6" t="s">
        <v>107</v>
      </c>
      <c r="Z6" s="19">
        <v>0.89729136450217228</v>
      </c>
      <c r="AA6" s="17">
        <v>0.86683968493388319</v>
      </c>
      <c r="AB6" s="17">
        <v>1.0150877483543317</v>
      </c>
      <c r="AC6" s="17">
        <v>0.98578518737370058</v>
      </c>
      <c r="AD6" s="17">
        <v>0.5724520542767001</v>
      </c>
      <c r="AE6" s="17">
        <v>0.5516892749206892</v>
      </c>
      <c r="AF6" s="17">
        <v>0.990440028480293</v>
      </c>
      <c r="AG6" s="17">
        <v>1.0094526235178405</v>
      </c>
    </row>
    <row r="7" spans="1:33" x14ac:dyDescent="0.3">
      <c r="B7" t="s">
        <v>108</v>
      </c>
      <c r="C7" t="s">
        <v>109</v>
      </c>
      <c r="D7" t="s">
        <v>88</v>
      </c>
      <c r="G7" s="6">
        <v>13284155.515628163</v>
      </c>
      <c r="H7" s="6">
        <v>18283547.537973456</v>
      </c>
      <c r="I7" s="6">
        <v>18975128.868847899</v>
      </c>
      <c r="M7" t="s">
        <v>222</v>
      </c>
      <c r="Q7" s="17">
        <v>1.0088465600724243</v>
      </c>
      <c r="R7" s="17">
        <v>0.99313707568790288</v>
      </c>
      <c r="S7" s="17">
        <v>-1.6182768045514629E-3</v>
      </c>
      <c r="X7" t="s">
        <v>155</v>
      </c>
      <c r="Z7" s="19">
        <v>0.96497258569965461</v>
      </c>
      <c r="AA7" s="17">
        <v>0.93277260028552289</v>
      </c>
      <c r="AB7" s="17">
        <v>1.0093279392880565</v>
      </c>
      <c r="AC7" s="17">
        <v>0.97802835218060724</v>
      </c>
      <c r="AD7" s="17">
        <v>0.31238954291713816</v>
      </c>
      <c r="AE7" s="17">
        <v>0.27934666192588758</v>
      </c>
      <c r="AF7" s="17">
        <v>0.99410602805152437</v>
      </c>
      <c r="AG7" s="17">
        <v>1.0146230460844408</v>
      </c>
    </row>
    <row r="8" spans="1:33" x14ac:dyDescent="0.3">
      <c r="C8" t="s">
        <v>5</v>
      </c>
      <c r="D8" t="s">
        <v>88</v>
      </c>
      <c r="G8" s="6">
        <v>14091384.98308737</v>
      </c>
      <c r="H8" s="6">
        <v>16447792.101544634</v>
      </c>
      <c r="I8" s="6">
        <v>17054295.8429645</v>
      </c>
      <c r="M8" t="s">
        <v>107</v>
      </c>
      <c r="N8" t="s">
        <v>91</v>
      </c>
      <c r="Q8" s="17">
        <v>0.99691269760567558</v>
      </c>
      <c r="R8" s="17">
        <v>1.0448685277067733</v>
      </c>
      <c r="S8" s="17">
        <v>-8.6674591885871639E-3</v>
      </c>
      <c r="X8" t="s">
        <v>108</v>
      </c>
      <c r="Y8" t="s">
        <v>109</v>
      </c>
      <c r="Z8" s="19">
        <v>0.72656334817070056</v>
      </c>
      <c r="AA8" s="17">
        <v>0.70008249258518629</v>
      </c>
      <c r="AB8" s="17">
        <v>1.0132700752062294</v>
      </c>
      <c r="AC8" s="17">
        <v>0.98958776018922268</v>
      </c>
      <c r="AD8" s="17">
        <v>0.26743976190781044</v>
      </c>
      <c r="AE8" s="17">
        <v>0.26985490941555462</v>
      </c>
      <c r="AF8" s="17">
        <v>0.99149061448924392</v>
      </c>
      <c r="AG8" s="17">
        <v>1.0069431447785477</v>
      </c>
    </row>
    <row r="9" spans="1:33" x14ac:dyDescent="0.3">
      <c r="C9" t="s">
        <v>110</v>
      </c>
      <c r="D9" t="s">
        <v>88</v>
      </c>
      <c r="G9" s="6">
        <v>12846079.263740897</v>
      </c>
      <c r="H9" s="6">
        <v>13391748.906164814</v>
      </c>
      <c r="I9" s="6">
        <v>13728918.022774501</v>
      </c>
      <c r="M9" t="s">
        <v>223</v>
      </c>
      <c r="Q9" s="17">
        <v>0.99691269760567558</v>
      </c>
      <c r="R9" s="17">
        <v>1.0448685277067733</v>
      </c>
      <c r="S9" s="17">
        <v>-8.6674591885871639E-3</v>
      </c>
      <c r="Y9" t="s">
        <v>5</v>
      </c>
      <c r="Z9" s="19">
        <v>0.85673413769402096</v>
      </c>
      <c r="AA9" s="17">
        <v>0.82626601020883339</v>
      </c>
      <c r="AB9" s="17">
        <v>1.0185440341316909</v>
      </c>
      <c r="AC9" s="17">
        <v>0.99620336395731379</v>
      </c>
      <c r="AD9" s="17">
        <v>0.51931281457586564</v>
      </c>
      <c r="AE9" s="17">
        <v>0.49768089630159634</v>
      </c>
      <c r="AF9" s="17">
        <v>0.98811085378182861</v>
      </c>
      <c r="AG9" s="17">
        <v>1.0025250313658234</v>
      </c>
    </row>
    <row r="10" spans="1:33" x14ac:dyDescent="0.3">
      <c r="A10" t="s">
        <v>148</v>
      </c>
      <c r="G10" s="6">
        <v>83731107.810153127</v>
      </c>
      <c r="H10" s="6">
        <v>93211921.837408036</v>
      </c>
      <c r="I10" s="6">
        <v>96403675.192228094</v>
      </c>
      <c r="L10" t="s">
        <v>155</v>
      </c>
      <c r="Q10" s="17">
        <v>1.0067678747100917</v>
      </c>
      <c r="R10" s="17">
        <v>0.99581561498348958</v>
      </c>
      <c r="S10" s="17">
        <v>-2.9763692442665328E-3</v>
      </c>
      <c r="Y10" t="s">
        <v>110</v>
      </c>
      <c r="Z10" s="19">
        <v>0.95925329497682554</v>
      </c>
      <c r="AA10" s="17">
        <v>0.93569495006313763</v>
      </c>
      <c r="AB10" s="17">
        <v>1.0182331339538178</v>
      </c>
      <c r="AC10" s="17">
        <v>0.98263240217134851</v>
      </c>
      <c r="AD10" s="17">
        <v>0.40608303287628328</v>
      </c>
      <c r="AE10" s="17">
        <v>0.34800766810035239</v>
      </c>
      <c r="AF10" s="17">
        <v>0.98857101769411138</v>
      </c>
      <c r="AG10" s="17">
        <v>1.0115429977244137</v>
      </c>
    </row>
    <row r="11" spans="1:33" x14ac:dyDescent="0.3">
      <c r="L11" t="s">
        <v>108</v>
      </c>
      <c r="M11" t="s">
        <v>109</v>
      </c>
      <c r="N11" t="s">
        <v>91</v>
      </c>
      <c r="Q11" s="17">
        <v>0.97990542097166411</v>
      </c>
      <c r="R11" s="17">
        <v>0.97156637420358372</v>
      </c>
      <c r="S11" s="17">
        <v>-3.6235525103839379E-2</v>
      </c>
      <c r="X11" t="s">
        <v>156</v>
      </c>
      <c r="Z11" s="19">
        <v>0.83580711417294706</v>
      </c>
      <c r="AA11" s="17">
        <v>0.80833921613909543</v>
      </c>
      <c r="AB11" s="17">
        <v>1.0161128227729528</v>
      </c>
      <c r="AC11" s="17">
        <v>0.98960914344880824</v>
      </c>
      <c r="AD11" s="17">
        <v>0.38462112205683185</v>
      </c>
      <c r="AE11" s="17">
        <v>0.36863657419257634</v>
      </c>
      <c r="AF11" s="17">
        <v>0.98973301421206128</v>
      </c>
      <c r="AG11" s="17">
        <v>1.0069163385469335</v>
      </c>
    </row>
    <row r="12" spans="1:33" x14ac:dyDescent="0.3">
      <c r="M12" t="s">
        <v>224</v>
      </c>
      <c r="Q12" s="17">
        <v>0.97990542097166411</v>
      </c>
      <c r="R12" s="17">
        <v>0.97156637420358372</v>
      </c>
      <c r="S12" s="17">
        <v>-3.6235525103839379E-2</v>
      </c>
      <c r="W12" t="s">
        <v>154</v>
      </c>
      <c r="Z12" s="19">
        <v>0.8982875383280633</v>
      </c>
      <c r="AA12" s="17">
        <v>0.8685468437089563</v>
      </c>
      <c r="AB12" s="17">
        <v>1.012427698874691</v>
      </c>
      <c r="AC12" s="17">
        <v>0.98361146291863366</v>
      </c>
      <c r="AD12" s="17">
        <v>0.34914253122914191</v>
      </c>
      <c r="AE12" s="17">
        <v>0.32531084008330535</v>
      </c>
      <c r="AF12" s="17">
        <v>0.99211320081343346</v>
      </c>
      <c r="AG12" s="17">
        <v>1.0109078974836467</v>
      </c>
    </row>
    <row r="13" spans="1:33" x14ac:dyDescent="0.3">
      <c r="M13" t="s">
        <v>5</v>
      </c>
      <c r="N13" t="s">
        <v>91</v>
      </c>
      <c r="Q13" s="17">
        <v>0.97271986016419076</v>
      </c>
      <c r="R13" s="17">
        <v>0.9591224905637884</v>
      </c>
      <c r="S13" s="17">
        <v>-4.754827664110365E-2</v>
      </c>
      <c r="W13" t="s">
        <v>148</v>
      </c>
      <c r="Z13" s="19">
        <v>0.89828753832806352</v>
      </c>
      <c r="AA13" s="17">
        <v>0.8685468437089563</v>
      </c>
      <c r="AB13" s="17">
        <v>1.012427698874691</v>
      </c>
      <c r="AC13" s="17">
        <v>0.98361146291863366</v>
      </c>
      <c r="AD13" s="17">
        <v>0.34914253122914191</v>
      </c>
      <c r="AE13" s="17">
        <v>0.32531084008330535</v>
      </c>
      <c r="AF13" s="17">
        <v>0.99211320081343368</v>
      </c>
      <c r="AG13" s="17">
        <v>1.0109078974836467</v>
      </c>
    </row>
    <row r="14" spans="1:33" x14ac:dyDescent="0.3">
      <c r="M14" t="s">
        <v>225</v>
      </c>
      <c r="Q14" s="17">
        <v>0.97271986016419076</v>
      </c>
      <c r="R14" s="17">
        <v>0.9591224905637884</v>
      </c>
      <c r="S14" s="17">
        <v>-4.754827664110365E-2</v>
      </c>
    </row>
    <row r="15" spans="1:33" x14ac:dyDescent="0.3">
      <c r="M15" t="s">
        <v>110</v>
      </c>
      <c r="N15" t="s">
        <v>91</v>
      </c>
      <c r="Q15" s="17">
        <v>0.97521260151015343</v>
      </c>
      <c r="R15" s="17">
        <v>1.006347023148787</v>
      </c>
      <c r="S15" s="17">
        <v>-4.1886771420559285E-2</v>
      </c>
    </row>
    <row r="16" spans="1:33" x14ac:dyDescent="0.3">
      <c r="M16" t="s">
        <v>226</v>
      </c>
      <c r="Q16" s="17">
        <v>0.97521260151015343</v>
      </c>
      <c r="R16" s="17">
        <v>1.006347023148787</v>
      </c>
      <c r="S16" s="17">
        <v>-4.1886771420559285E-2</v>
      </c>
    </row>
    <row r="17" spans="11:19" x14ac:dyDescent="0.3">
      <c r="L17" t="s">
        <v>156</v>
      </c>
      <c r="Q17" s="17">
        <v>0.97599062102577261</v>
      </c>
      <c r="R17" s="17">
        <v>0.97856513650104249</v>
      </c>
      <c r="S17" s="17">
        <v>-4.1833506779648089E-2</v>
      </c>
    </row>
    <row r="18" spans="11:19" x14ac:dyDescent="0.3">
      <c r="K18" t="s">
        <v>154</v>
      </c>
      <c r="Q18" s="17">
        <v>0.99135282283549231</v>
      </c>
      <c r="R18" s="17">
        <v>0.98723409779646609</v>
      </c>
      <c r="S18" s="17">
        <v>-2.2522867010359097E-2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48CC-C8AD-4DFF-A460-3B246C6E30E5}">
  <sheetPr>
    <tabColor rgb="FF92D050"/>
  </sheetPr>
  <dimension ref="A1:N31"/>
  <sheetViews>
    <sheetView showGridLines="0" zoomScaleNormal="100" workbookViewId="0">
      <selection activeCell="B16" sqref="B16"/>
    </sheetView>
  </sheetViews>
  <sheetFormatPr defaultRowHeight="14.4" x14ac:dyDescent="0.3"/>
  <cols>
    <col min="1" max="1" width="44.109375" bestFit="1" customWidth="1"/>
    <col min="2" max="4" width="14.44140625" bestFit="1" customWidth="1"/>
    <col min="5" max="5" width="8.5546875" bestFit="1" customWidth="1"/>
    <col min="6" max="8" width="5.44140625" bestFit="1" customWidth="1"/>
    <col min="9" max="9" width="8.5546875" bestFit="1" customWidth="1"/>
    <col min="10" max="10" width="10.21875" bestFit="1" customWidth="1"/>
    <col min="11" max="12" width="7.6640625" bestFit="1" customWidth="1"/>
    <col min="13" max="13" width="11.44140625" customWidth="1"/>
    <col min="14" max="14" width="42" bestFit="1" customWidth="1"/>
    <col min="15" max="15" width="10.21875" bestFit="1" customWidth="1"/>
    <col min="16" max="16" width="15.77734375" bestFit="1" customWidth="1"/>
    <col min="17" max="28" width="14.88671875" bestFit="1" customWidth="1"/>
    <col min="29" max="29" width="13.77734375" bestFit="1" customWidth="1"/>
    <col min="30" max="30" width="15.6640625" bestFit="1" customWidth="1"/>
    <col min="31" max="31" width="17.77734375" bestFit="1" customWidth="1"/>
    <col min="32" max="32" width="15.77734375" bestFit="1" customWidth="1"/>
    <col min="33" max="33" width="15.21875" bestFit="1" customWidth="1"/>
    <col min="34" max="34" width="17.33203125" bestFit="1" customWidth="1"/>
    <col min="35" max="35" width="19.33203125" bestFit="1" customWidth="1"/>
    <col min="36" max="36" width="17.5546875" bestFit="1" customWidth="1"/>
    <col min="37" max="37" width="11.33203125" bestFit="1" customWidth="1"/>
    <col min="38" max="38" width="10.88671875" bestFit="1" customWidth="1"/>
    <col min="39" max="39" width="14.6640625" bestFit="1" customWidth="1"/>
    <col min="40" max="40" width="13" bestFit="1" customWidth="1"/>
    <col min="41" max="41" width="11.5546875" bestFit="1" customWidth="1"/>
    <col min="42" max="42" width="16.21875" bestFit="1" customWidth="1"/>
    <col min="43" max="48" width="12.88671875" bestFit="1" customWidth="1"/>
    <col min="49" max="49" width="11.33203125" bestFit="1" customWidth="1"/>
    <col min="50" max="50" width="10.88671875" bestFit="1" customWidth="1"/>
    <col min="51" max="51" width="14.6640625" bestFit="1" customWidth="1"/>
    <col min="52" max="52" width="15.6640625" bestFit="1" customWidth="1"/>
    <col min="53" max="53" width="13" bestFit="1" customWidth="1"/>
    <col min="54" max="54" width="11.5546875" bestFit="1" customWidth="1"/>
    <col min="55" max="55" width="16.21875" bestFit="1" customWidth="1"/>
    <col min="56" max="56" width="17.33203125" bestFit="1" customWidth="1"/>
    <col min="57" max="60" width="12.88671875" bestFit="1" customWidth="1"/>
    <col min="61" max="61" width="11.33203125" bestFit="1" customWidth="1"/>
    <col min="62" max="62" width="14.6640625" bestFit="1" customWidth="1"/>
    <col min="63" max="63" width="15.6640625" bestFit="1" customWidth="1"/>
    <col min="64" max="72" width="12.88671875" bestFit="1" customWidth="1"/>
    <col min="73" max="73" width="11.33203125" bestFit="1" customWidth="1"/>
    <col min="74" max="74" width="14.6640625" bestFit="1" customWidth="1"/>
    <col min="75" max="75" width="15.6640625" bestFit="1" customWidth="1"/>
    <col min="76" max="76" width="13" bestFit="1" customWidth="1"/>
    <col min="77" max="77" width="16.21875" bestFit="1" customWidth="1"/>
    <col min="78" max="78" width="17.33203125" bestFit="1" customWidth="1"/>
  </cols>
  <sheetData>
    <row r="1" spans="1:14" x14ac:dyDescent="0.3">
      <c r="M1" s="23" t="s">
        <v>194</v>
      </c>
      <c r="N1" s="25" t="s">
        <v>220</v>
      </c>
    </row>
    <row r="2" spans="1:14" x14ac:dyDescent="0.3">
      <c r="M2" s="23" t="s">
        <v>177</v>
      </c>
      <c r="N2" s="25" t="s">
        <v>163</v>
      </c>
    </row>
    <row r="3" spans="1:14" x14ac:dyDescent="0.3">
      <c r="M3" s="24" t="s">
        <v>178</v>
      </c>
      <c r="N3" s="26" t="s">
        <v>164</v>
      </c>
    </row>
    <row r="4" spans="1:14" x14ac:dyDescent="0.3">
      <c r="M4" s="24" t="s">
        <v>179</v>
      </c>
      <c r="N4" s="26" t="s">
        <v>180</v>
      </c>
    </row>
    <row r="5" spans="1:14" x14ac:dyDescent="0.3">
      <c r="M5" s="24" t="s">
        <v>181</v>
      </c>
      <c r="N5" s="26" t="s">
        <v>182</v>
      </c>
    </row>
    <row r="6" spans="1:14" x14ac:dyDescent="0.3">
      <c r="M6" s="24" t="s">
        <v>183</v>
      </c>
      <c r="N6" s="26" t="s">
        <v>184</v>
      </c>
    </row>
    <row r="7" spans="1:14" x14ac:dyDescent="0.3">
      <c r="M7" s="24" t="s">
        <v>185</v>
      </c>
      <c r="N7" s="26" t="s">
        <v>186</v>
      </c>
    </row>
    <row r="8" spans="1:14" x14ac:dyDescent="0.3">
      <c r="M8" s="24" t="s">
        <v>191</v>
      </c>
      <c r="N8" s="26" t="s">
        <v>189</v>
      </c>
    </row>
    <row r="9" spans="1:14" x14ac:dyDescent="0.3">
      <c r="M9" s="27" t="s">
        <v>192</v>
      </c>
      <c r="N9" s="28" t="s">
        <v>190</v>
      </c>
    </row>
    <row r="12" spans="1:14" x14ac:dyDescent="0.3">
      <c r="B12" s="14" t="s">
        <v>1</v>
      </c>
      <c r="C12" s="14" t="s">
        <v>100</v>
      </c>
      <c r="D12" s="14" t="s">
        <v>102</v>
      </c>
    </row>
    <row r="13" spans="1:14" x14ac:dyDescent="0.3">
      <c r="B13" s="18">
        <v>2025</v>
      </c>
      <c r="C13" s="18">
        <v>2025</v>
      </c>
      <c r="D13" s="18">
        <v>2025</v>
      </c>
      <c r="E13" s="18">
        <v>2025</v>
      </c>
      <c r="F13" s="18">
        <v>2025</v>
      </c>
      <c r="G13" s="18">
        <v>2025</v>
      </c>
      <c r="H13" s="18">
        <v>2025</v>
      </c>
      <c r="I13" s="18">
        <v>2025</v>
      </c>
      <c r="J13" t="s">
        <v>154</v>
      </c>
    </row>
    <row r="14" spans="1:14" x14ac:dyDescent="0.3">
      <c r="B14" s="18" t="s">
        <v>104</v>
      </c>
      <c r="C14" s="18" t="s">
        <v>104</v>
      </c>
      <c r="D14" s="18" t="s">
        <v>104</v>
      </c>
      <c r="E14" t="s">
        <v>155</v>
      </c>
      <c r="F14" s="18" t="s">
        <v>108</v>
      </c>
      <c r="G14" s="18" t="s">
        <v>108</v>
      </c>
      <c r="H14" s="18" t="s">
        <v>108</v>
      </c>
      <c r="I14" t="s">
        <v>156</v>
      </c>
    </row>
    <row r="15" spans="1:14" x14ac:dyDescent="0.3">
      <c r="A15" s="14" t="s">
        <v>149</v>
      </c>
      <c r="B15" s="18" t="s">
        <v>105</v>
      </c>
      <c r="C15" s="18" t="s">
        <v>106</v>
      </c>
      <c r="D15" s="18" t="s">
        <v>107</v>
      </c>
      <c r="F15" s="18" t="s">
        <v>109</v>
      </c>
      <c r="G15" s="18" t="s">
        <v>5</v>
      </c>
      <c r="H15" s="18" t="s">
        <v>110</v>
      </c>
    </row>
    <row r="16" spans="1:14" x14ac:dyDescent="0.3">
      <c r="A16" t="s">
        <v>177</v>
      </c>
      <c r="B16">
        <v>1</v>
      </c>
      <c r="C16">
        <v>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</row>
    <row r="17" spans="1:10" x14ac:dyDescent="0.3">
      <c r="A17" t="s">
        <v>163</v>
      </c>
      <c r="B17" s="19">
        <v>1.016471612503828</v>
      </c>
      <c r="C17" s="19">
        <v>1.0177270345285965</v>
      </c>
      <c r="D17" s="19">
        <v>0.89729136450217228</v>
      </c>
      <c r="E17" s="19">
        <v>0.96497258569965461</v>
      </c>
      <c r="F17" s="19">
        <v>0.72656334817070056</v>
      </c>
      <c r="G17" s="19">
        <v>0.85673413769402096</v>
      </c>
      <c r="H17" s="19">
        <v>0.95925329497682554</v>
      </c>
      <c r="I17" s="19">
        <v>0.83580711417294706</v>
      </c>
      <c r="J17" s="19">
        <v>0.8982875383280633</v>
      </c>
    </row>
    <row r="18" spans="1:10" x14ac:dyDescent="0.3">
      <c r="A18" t="s">
        <v>178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</row>
    <row r="19" spans="1:10" x14ac:dyDescent="0.3">
      <c r="A19" t="s">
        <v>164</v>
      </c>
      <c r="B19" s="17">
        <v>0.98253199641809097</v>
      </c>
      <c r="C19" s="17">
        <v>0.9845699804215241</v>
      </c>
      <c r="D19" s="17">
        <v>0.86683968493388319</v>
      </c>
      <c r="E19" s="17">
        <v>0.93277260028552289</v>
      </c>
      <c r="F19" s="17">
        <v>0.70008249258518629</v>
      </c>
      <c r="G19" s="17">
        <v>0.82626601020883339</v>
      </c>
      <c r="H19" s="17">
        <v>0.93569495006313763</v>
      </c>
      <c r="I19" s="17">
        <v>0.80833921613909543</v>
      </c>
      <c r="J19" s="17">
        <v>0.8685468437089563</v>
      </c>
    </row>
    <row r="20" spans="1:10" x14ac:dyDescent="0.3">
      <c r="A20" t="s">
        <v>179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 x14ac:dyDescent="0.3">
      <c r="A21" t="s">
        <v>180</v>
      </c>
      <c r="B21" s="17">
        <v>1.0063105329925386</v>
      </c>
      <c r="C21" s="17">
        <v>1.0049133579517775</v>
      </c>
      <c r="D21" s="17">
        <v>1.0150877483543317</v>
      </c>
      <c r="E21" s="17">
        <v>1.0093279392880565</v>
      </c>
      <c r="F21" s="17">
        <v>1.0132700752062294</v>
      </c>
      <c r="G21" s="17">
        <v>1.0185440341316909</v>
      </c>
      <c r="H21" s="17">
        <v>1.0182331339538178</v>
      </c>
      <c r="I21" s="17">
        <v>1.0161128227729528</v>
      </c>
      <c r="J21" s="17">
        <v>1.012427698874691</v>
      </c>
    </row>
    <row r="22" spans="1:10" x14ac:dyDescent="0.3">
      <c r="A22" t="s">
        <v>181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</row>
    <row r="23" spans="1:10" x14ac:dyDescent="0.3">
      <c r="A23" t="s">
        <v>182</v>
      </c>
      <c r="B23" s="17">
        <v>0.97299380278753955</v>
      </c>
      <c r="C23" s="17">
        <v>0.97242219653600259</v>
      </c>
      <c r="D23" s="17">
        <v>0.98578518737370058</v>
      </c>
      <c r="E23" s="17">
        <v>0.97802835218060724</v>
      </c>
      <c r="F23" s="17">
        <v>0.98958776018922268</v>
      </c>
      <c r="G23" s="17">
        <v>0.99620336395731379</v>
      </c>
      <c r="H23" s="17">
        <v>0.98263240217134851</v>
      </c>
      <c r="I23" s="17">
        <v>0.98960914344880824</v>
      </c>
      <c r="J23" s="17">
        <v>0.98361146291863366</v>
      </c>
    </row>
    <row r="24" spans="1:10" x14ac:dyDescent="0.3">
      <c r="A24" t="s">
        <v>183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</row>
    <row r="25" spans="1:10" x14ac:dyDescent="0.3">
      <c r="A25" t="s">
        <v>184</v>
      </c>
      <c r="B25" s="17">
        <v>-33.976982050800359</v>
      </c>
      <c r="C25" s="17">
        <v>0.29838670608055368</v>
      </c>
      <c r="D25" s="17">
        <v>0.5724520542767001</v>
      </c>
      <c r="E25" s="17">
        <v>0.31238954291713816</v>
      </c>
      <c r="F25" s="17">
        <v>0.26743976190781044</v>
      </c>
      <c r="G25" s="17">
        <v>0.51931281457586564</v>
      </c>
      <c r="H25" s="17">
        <v>0.40608303287628328</v>
      </c>
      <c r="I25" s="17">
        <v>0.38462112205683185</v>
      </c>
      <c r="J25" s="17">
        <v>0.34914253122914191</v>
      </c>
    </row>
    <row r="26" spans="1:10" x14ac:dyDescent="0.3">
      <c r="A26" t="s">
        <v>185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</row>
    <row r="27" spans="1:10" x14ac:dyDescent="0.3">
      <c r="A27" t="s">
        <v>186</v>
      </c>
      <c r="B27" s="17">
        <v>-2.9676571347901968</v>
      </c>
      <c r="C27" s="17">
        <v>0.25706116899580844</v>
      </c>
      <c r="D27" s="17">
        <v>0.5516892749206892</v>
      </c>
      <c r="E27" s="17">
        <v>0.27934666192588758</v>
      </c>
      <c r="F27" s="17">
        <v>0.26985490941555462</v>
      </c>
      <c r="G27" s="17">
        <v>0.49768089630159634</v>
      </c>
      <c r="H27" s="17">
        <v>0.34800766810035239</v>
      </c>
      <c r="I27" s="17">
        <v>0.36863657419257634</v>
      </c>
      <c r="J27" s="17">
        <v>0.32531084008330535</v>
      </c>
    </row>
    <row r="28" spans="1:10" x14ac:dyDescent="0.3">
      <c r="A28" t="s">
        <v>191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</row>
    <row r="29" spans="1:10" x14ac:dyDescent="0.3">
      <c r="A29" t="s">
        <v>189</v>
      </c>
      <c r="B29" s="17">
        <v>0.99603925474385213</v>
      </c>
      <c r="C29" s="17">
        <v>0.99689141475067389</v>
      </c>
      <c r="D29" s="17">
        <v>0.990440028480293</v>
      </c>
      <c r="E29" s="17">
        <v>0.99410602805152437</v>
      </c>
      <c r="F29" s="17">
        <v>0.99149061448924392</v>
      </c>
      <c r="G29" s="17">
        <v>0.98811085378182861</v>
      </c>
      <c r="H29" s="17">
        <v>0.98857101769411138</v>
      </c>
      <c r="I29" s="17">
        <v>0.98973301421206128</v>
      </c>
      <c r="J29" s="17">
        <v>0.99211320081343346</v>
      </c>
    </row>
    <row r="30" spans="1:10" x14ac:dyDescent="0.3">
      <c r="A30" t="s">
        <v>192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 x14ac:dyDescent="0.3">
      <c r="A31" t="s">
        <v>190</v>
      </c>
      <c r="B31" s="17">
        <v>1.0179156086584831</v>
      </c>
      <c r="C31" s="17">
        <v>1.0184203128522933</v>
      </c>
      <c r="D31" s="17">
        <v>1.0094526235178405</v>
      </c>
      <c r="E31" s="17">
        <v>1.0146230460844408</v>
      </c>
      <c r="F31" s="17">
        <v>1.0069431447785477</v>
      </c>
      <c r="G31" s="17">
        <v>1.0025250313658234</v>
      </c>
      <c r="H31" s="17">
        <v>1.0115429977244137</v>
      </c>
      <c r="I31" s="17">
        <v>1.0069163385469335</v>
      </c>
      <c r="J31" s="17">
        <v>1.0109078974836467</v>
      </c>
    </row>
  </sheetData>
  <conditionalFormatting pivot="1" sqref="B16:J16">
    <cfRule type="iconSet" priority="8">
      <iconSet iconSet="3Symbols" showValue="0">
        <cfvo type="num" val="-1"/>
        <cfvo type="num" val="-0.5"/>
        <cfvo type="num" val="0.5"/>
      </iconSet>
    </cfRule>
  </conditionalFormatting>
  <conditionalFormatting pivot="1" sqref="B18:J18">
    <cfRule type="iconSet" priority="7">
      <iconSet iconSet="3Symbols" showValue="0">
        <cfvo type="num" val="-1"/>
        <cfvo type="num" val="-0.5"/>
        <cfvo type="num" val="0.5"/>
      </iconSet>
    </cfRule>
  </conditionalFormatting>
  <conditionalFormatting pivot="1" sqref="B20:J20">
    <cfRule type="iconSet" priority="6">
      <iconSet iconSet="3Symbols" showValue="0">
        <cfvo type="num" val="-1"/>
        <cfvo type="num" val="-0.5"/>
        <cfvo type="num" val="0.5"/>
      </iconSet>
    </cfRule>
  </conditionalFormatting>
  <conditionalFormatting pivot="1" sqref="B22:J22">
    <cfRule type="iconSet" priority="5">
      <iconSet iconSet="3Symbols" showValue="0">
        <cfvo type="num" val="-1"/>
        <cfvo type="num" val="-0.5"/>
        <cfvo type="num" val="0.5"/>
      </iconSet>
    </cfRule>
  </conditionalFormatting>
  <conditionalFormatting pivot="1" sqref="B24:J24">
    <cfRule type="iconSet" priority="4">
      <iconSet iconSet="3Symbols" showValue="0">
        <cfvo type="num" val="-1"/>
        <cfvo type="num" val="-0.5"/>
        <cfvo type="num" val="0.5"/>
      </iconSet>
    </cfRule>
  </conditionalFormatting>
  <conditionalFormatting pivot="1" sqref="B26:J26">
    <cfRule type="iconSet" priority="3">
      <iconSet iconSet="3Symbols" showValue="0">
        <cfvo type="num" val="-1"/>
        <cfvo type="num" val="-0.5"/>
        <cfvo type="num" val="0.5"/>
      </iconSet>
    </cfRule>
  </conditionalFormatting>
  <conditionalFormatting pivot="1" sqref="B28:J28">
    <cfRule type="iconSet" priority="2">
      <iconSet iconSet="3Symbols" showValue="0">
        <cfvo type="num" val="-1"/>
        <cfvo type="num" val="-0.5"/>
        <cfvo type="num" val="0.5"/>
      </iconSet>
    </cfRule>
  </conditionalFormatting>
  <conditionalFormatting pivot="1" sqref="B30:J30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  <tableParts count="1">
    <tablePart r:id="rId3"/>
  </tableParts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9940-1BDB-4DC5-B575-3BCF872DB67E}">
  <sheetPr>
    <tabColor rgb="FF92D050"/>
  </sheetPr>
  <dimension ref="A11:M77"/>
  <sheetViews>
    <sheetView showGridLines="0" zoomScale="80" zoomScaleNormal="80" workbookViewId="0">
      <selection activeCell="B14" sqref="B14"/>
    </sheetView>
  </sheetViews>
  <sheetFormatPr defaultRowHeight="14.4" x14ac:dyDescent="0.3"/>
  <cols>
    <col min="1" max="1" width="24.33203125" customWidth="1"/>
    <col min="2" max="2" width="12.77734375" bestFit="1" customWidth="1"/>
    <col min="3" max="3" width="8.21875" bestFit="1" customWidth="1"/>
    <col min="4" max="4" width="19.44140625" bestFit="1" customWidth="1"/>
    <col min="5" max="7" width="14.44140625" bestFit="1" customWidth="1"/>
    <col min="8" max="8" width="8.5546875" bestFit="1" customWidth="1"/>
    <col min="9" max="11" width="7" bestFit="1" customWidth="1"/>
    <col min="12" max="12" width="8.5546875" bestFit="1" customWidth="1"/>
    <col min="13" max="13" width="10.21875" bestFit="1" customWidth="1"/>
    <col min="14" max="15" width="6.109375" bestFit="1" customWidth="1"/>
    <col min="16" max="16" width="8.5546875" bestFit="1" customWidth="1"/>
    <col min="17" max="19" width="6.109375" bestFit="1" customWidth="1"/>
    <col min="20" max="20" width="8.5546875" bestFit="1" customWidth="1"/>
    <col min="21" max="21" width="10.21875" bestFit="1" customWidth="1"/>
    <col min="22" max="23" width="7.109375" bestFit="1" customWidth="1"/>
    <col min="24" max="24" width="8.5546875" bestFit="1" customWidth="1"/>
    <col min="25" max="27" width="5.44140625" bestFit="1" customWidth="1"/>
    <col min="28" max="28" width="8.5546875" bestFit="1" customWidth="1"/>
    <col min="29" max="31" width="6.109375" bestFit="1" customWidth="1"/>
    <col min="32" max="32" width="8.5546875" bestFit="1" customWidth="1"/>
    <col min="33" max="35" width="6.109375" bestFit="1" customWidth="1"/>
    <col min="36" max="36" width="8.5546875" bestFit="1" customWidth="1"/>
    <col min="37" max="37" width="10.21875" bestFit="1" customWidth="1"/>
    <col min="38" max="38" width="12" bestFit="1" customWidth="1"/>
    <col min="39" max="39" width="23.6640625" bestFit="1" customWidth="1"/>
  </cols>
  <sheetData>
    <row r="11" spans="1:13" x14ac:dyDescent="0.3">
      <c r="E11" s="14" t="s">
        <v>1</v>
      </c>
      <c r="F11" s="14" t="s">
        <v>100</v>
      </c>
      <c r="G11" s="14" t="s">
        <v>102</v>
      </c>
    </row>
    <row r="12" spans="1:13" x14ac:dyDescent="0.3">
      <c r="E12" s="18">
        <v>2025</v>
      </c>
      <c r="F12" s="18">
        <v>2025</v>
      </c>
      <c r="G12" s="18">
        <v>2025</v>
      </c>
      <c r="H12" s="18">
        <v>2025</v>
      </c>
      <c r="I12" s="18">
        <v>2025</v>
      </c>
      <c r="J12" s="18">
        <v>2025</v>
      </c>
      <c r="K12" s="18">
        <v>2025</v>
      </c>
      <c r="L12" s="18">
        <v>2025</v>
      </c>
      <c r="M12" t="s">
        <v>154</v>
      </c>
    </row>
    <row r="13" spans="1:13" x14ac:dyDescent="0.3">
      <c r="E13" s="18" t="s">
        <v>104</v>
      </c>
      <c r="F13" s="18" t="s">
        <v>104</v>
      </c>
      <c r="G13" s="18" t="s">
        <v>104</v>
      </c>
      <c r="H13" t="s">
        <v>155</v>
      </c>
      <c r="I13" s="18" t="s">
        <v>108</v>
      </c>
      <c r="J13" s="18" t="s">
        <v>108</v>
      </c>
      <c r="K13" s="18" t="s">
        <v>108</v>
      </c>
      <c r="L13" t="s">
        <v>156</v>
      </c>
    </row>
    <row r="14" spans="1:13" x14ac:dyDescent="0.3">
      <c r="A14" s="14" t="s">
        <v>85</v>
      </c>
      <c r="B14" s="14" t="s">
        <v>86</v>
      </c>
      <c r="C14" s="14" t="s">
        <v>28</v>
      </c>
      <c r="D14" s="14" t="s">
        <v>149</v>
      </c>
      <c r="E14" s="18" t="s">
        <v>105</v>
      </c>
      <c r="F14" s="18" t="s">
        <v>106</v>
      </c>
      <c r="G14" s="18" t="s">
        <v>107</v>
      </c>
      <c r="I14" s="18" t="s">
        <v>109</v>
      </c>
      <c r="J14" s="18" t="s">
        <v>5</v>
      </c>
      <c r="K14" s="18" t="s">
        <v>110</v>
      </c>
    </row>
    <row r="15" spans="1:13" x14ac:dyDescent="0.3">
      <c r="A15" t="s">
        <v>87</v>
      </c>
      <c r="B15" t="s">
        <v>194</v>
      </c>
      <c r="D15" t="s">
        <v>157</v>
      </c>
      <c r="E15" s="17">
        <v>1.0205136069313157</v>
      </c>
      <c r="F15" s="17">
        <v>1.0209005910469533</v>
      </c>
      <c r="G15" s="17">
        <v>0.90595224213519931</v>
      </c>
      <c r="H15" s="17">
        <v>0.97069382789180725</v>
      </c>
      <c r="I15" s="17">
        <v>0.73279901751261867</v>
      </c>
      <c r="J15" s="17">
        <v>0.86704253314799118</v>
      </c>
      <c r="K15" s="17">
        <v>0.9703433317459873</v>
      </c>
      <c r="L15" s="17">
        <v>0.8444773511352891</v>
      </c>
      <c r="M15" s="17">
        <v>0.90542847085550071</v>
      </c>
    </row>
    <row r="16" spans="1:13" x14ac:dyDescent="0.3">
      <c r="A16" t="s">
        <v>87</v>
      </c>
      <c r="B16" t="s">
        <v>194</v>
      </c>
      <c r="D16" t="s">
        <v>158</v>
      </c>
      <c r="E16" s="17">
        <v>0.58098898698948531</v>
      </c>
      <c r="F16" s="17">
        <v>1.3186431910320304</v>
      </c>
      <c r="G16" s="17">
        <v>1.2062350784307938</v>
      </c>
      <c r="H16" s="17">
        <v>0.96766972258406259</v>
      </c>
      <c r="I16" s="17">
        <v>0.75668839961342993</v>
      </c>
      <c r="J16" s="17">
        <v>1.0643195771733143</v>
      </c>
      <c r="K16" s="17">
        <v>0.9032592161965749</v>
      </c>
      <c r="L16" s="17">
        <v>0.89361914600782788</v>
      </c>
      <c r="M16" s="17">
        <v>0.93048324344481825</v>
      </c>
    </row>
    <row r="17" spans="1:13" x14ac:dyDescent="0.3">
      <c r="A17" t="s">
        <v>87</v>
      </c>
      <c r="B17" t="s">
        <v>194</v>
      </c>
      <c r="D17" t="s">
        <v>153</v>
      </c>
      <c r="E17" s="17">
        <v>-3.4760850447145109E-2</v>
      </c>
      <c r="F17" s="17">
        <v>-3.3238076660082015E-2</v>
      </c>
      <c r="G17" s="17">
        <v>-0.14127749560644612</v>
      </c>
      <c r="H17" s="17">
        <v>-8.0670793074126598E-2</v>
      </c>
      <c r="I17" s="17">
        <v>-0.30474476516829346</v>
      </c>
      <c r="J17" s="17">
        <v>-0.17581508255894374</v>
      </c>
      <c r="K17" s="17">
        <v>-7.4982524551013022E-2</v>
      </c>
      <c r="L17" s="17">
        <v>-0.19721312963736579</v>
      </c>
      <c r="M17" s="17">
        <v>-0.14082494966065226</v>
      </c>
    </row>
    <row r="18" spans="1:13" x14ac:dyDescent="0.3">
      <c r="A18" t="s">
        <v>195</v>
      </c>
      <c r="E18" s="17">
        <v>1.0205136069313157</v>
      </c>
      <c r="F18" s="17">
        <v>1.0209005910469533</v>
      </c>
      <c r="G18" s="17">
        <v>0.90595224213519931</v>
      </c>
      <c r="H18" s="17">
        <v>0.97069382789180725</v>
      </c>
      <c r="I18" s="17">
        <v>0.73279901751261867</v>
      </c>
      <c r="J18" s="17">
        <v>0.86704253314799118</v>
      </c>
      <c r="K18" s="17">
        <v>0.9703433317459873</v>
      </c>
      <c r="L18" s="17">
        <v>0.8444773511352891</v>
      </c>
      <c r="M18" s="17">
        <v>0.90542847085550071</v>
      </c>
    </row>
    <row r="19" spans="1:13" x14ac:dyDescent="0.3">
      <c r="A19" t="s">
        <v>196</v>
      </c>
      <c r="E19" s="17">
        <v>0.58098898698948531</v>
      </c>
      <c r="F19" s="17">
        <v>1.3186431910320304</v>
      </c>
      <c r="G19" s="17">
        <v>1.2062350784307938</v>
      </c>
      <c r="H19" s="17">
        <v>0.96766972258406259</v>
      </c>
      <c r="I19" s="17">
        <v>0.75668839961342993</v>
      </c>
      <c r="J19" s="17">
        <v>1.0643195771733143</v>
      </c>
      <c r="K19" s="17">
        <v>0.9032592161965749</v>
      </c>
      <c r="L19" s="17">
        <v>0.89361914600782788</v>
      </c>
      <c r="M19" s="17">
        <v>0.93048324344481825</v>
      </c>
    </row>
    <row r="20" spans="1:13" x14ac:dyDescent="0.3">
      <c r="A20" t="s">
        <v>197</v>
      </c>
      <c r="E20" s="17">
        <v>-3.4760850447145109E-2</v>
      </c>
      <c r="F20" s="17">
        <v>-3.3238076660082015E-2</v>
      </c>
      <c r="G20" s="17">
        <v>-0.14127749560644612</v>
      </c>
      <c r="H20" s="17">
        <v>-8.0670793074126598E-2</v>
      </c>
      <c r="I20" s="17">
        <v>-0.30474476516829346</v>
      </c>
      <c r="J20" s="17">
        <v>-0.17581508255894374</v>
      </c>
      <c r="K20" s="17">
        <v>-7.4982524551013022E-2</v>
      </c>
      <c r="L20" s="17">
        <v>-0.19721312963736579</v>
      </c>
      <c r="M20" s="17">
        <v>-0.14082494966065226</v>
      </c>
    </row>
    <row r="21" spans="1:13" x14ac:dyDescent="0.3">
      <c r="A21" t="s">
        <v>88</v>
      </c>
      <c r="B21" t="s">
        <v>194</v>
      </c>
      <c r="D21" t="s">
        <v>157</v>
      </c>
      <c r="E21" s="17">
        <v>1.016471612503828</v>
      </c>
      <c r="F21" s="17">
        <v>1.0177270345285965</v>
      </c>
      <c r="G21" s="17">
        <v>0.89729136450217228</v>
      </c>
      <c r="H21" s="17">
        <v>0.96497258569965461</v>
      </c>
      <c r="I21" s="17">
        <v>0.72656334817070056</v>
      </c>
      <c r="J21" s="17">
        <v>0.85673413769402096</v>
      </c>
      <c r="K21" s="17">
        <v>0.95925329497682554</v>
      </c>
      <c r="L21" s="17">
        <v>0.83580711417294706</v>
      </c>
      <c r="M21" s="17">
        <v>0.8982875383280633</v>
      </c>
    </row>
    <row r="22" spans="1:13" x14ac:dyDescent="0.3">
      <c r="A22" t="s">
        <v>88</v>
      </c>
      <c r="B22" t="s">
        <v>194</v>
      </c>
      <c r="D22" t="s">
        <v>158</v>
      </c>
      <c r="E22" s="17">
        <v>0.58111616222750151</v>
      </c>
      <c r="F22" s="17">
        <v>1.3156972674885148</v>
      </c>
      <c r="G22" s="17">
        <v>1.1977361079901792</v>
      </c>
      <c r="H22" s="17">
        <v>0.96408587387827471</v>
      </c>
      <c r="I22" s="17">
        <v>0.75397349557908855</v>
      </c>
      <c r="J22" s="17">
        <v>1.0607663367467763</v>
      </c>
      <c r="K22" s="17">
        <v>0.9116264497179587</v>
      </c>
      <c r="L22" s="17">
        <v>0.89392495248742665</v>
      </c>
      <c r="M22" s="17">
        <v>0.92905831147303009</v>
      </c>
    </row>
    <row r="23" spans="1:13" x14ac:dyDescent="0.3">
      <c r="A23" t="s">
        <v>88</v>
      </c>
      <c r="B23" t="s">
        <v>194</v>
      </c>
      <c r="D23" t="s">
        <v>153</v>
      </c>
      <c r="E23" s="17">
        <v>-1.7468003581908993E-2</v>
      </c>
      <c r="F23" s="17">
        <v>-1.5430019578475928E-2</v>
      </c>
      <c r="G23" s="17">
        <v>-0.13316031506611684</v>
      </c>
      <c r="H23" s="17">
        <v>-6.7227399714477137E-2</v>
      </c>
      <c r="I23" s="17">
        <v>-0.29991750741481377</v>
      </c>
      <c r="J23" s="17">
        <v>-0.17373398979116664</v>
      </c>
      <c r="K23" s="17">
        <v>-6.4305049936862341E-2</v>
      </c>
      <c r="L23" s="17">
        <v>-0.19166078386090454</v>
      </c>
      <c r="M23" s="17">
        <v>-0.13145315629104365</v>
      </c>
    </row>
    <row r="24" spans="1:13" x14ac:dyDescent="0.3">
      <c r="A24" t="s">
        <v>198</v>
      </c>
      <c r="E24" s="17">
        <v>1.016471612503828</v>
      </c>
      <c r="F24" s="17">
        <v>1.0177270345285965</v>
      </c>
      <c r="G24" s="17">
        <v>0.89729136450217228</v>
      </c>
      <c r="H24" s="17">
        <v>0.96497258569965461</v>
      </c>
      <c r="I24" s="17">
        <v>0.72656334817070056</v>
      </c>
      <c r="J24" s="17">
        <v>0.85673413769402096</v>
      </c>
      <c r="K24" s="17">
        <v>0.95925329497682554</v>
      </c>
      <c r="L24" s="17">
        <v>0.83580711417294706</v>
      </c>
      <c r="M24" s="17">
        <v>0.8982875383280633</v>
      </c>
    </row>
    <row r="25" spans="1:13" x14ac:dyDescent="0.3">
      <c r="A25" t="s">
        <v>199</v>
      </c>
      <c r="E25" s="17">
        <v>0.58111616222750151</v>
      </c>
      <c r="F25" s="17">
        <v>1.3156972674885148</v>
      </c>
      <c r="G25" s="17">
        <v>1.1977361079901792</v>
      </c>
      <c r="H25" s="17">
        <v>0.96408587387827471</v>
      </c>
      <c r="I25" s="17">
        <v>0.75397349557908855</v>
      </c>
      <c r="J25" s="17">
        <v>1.0607663367467763</v>
      </c>
      <c r="K25" s="17">
        <v>0.9116264497179587</v>
      </c>
      <c r="L25" s="17">
        <v>0.89392495248742665</v>
      </c>
      <c r="M25" s="17">
        <v>0.92905831147303009</v>
      </c>
    </row>
    <row r="26" spans="1:13" x14ac:dyDescent="0.3">
      <c r="A26" t="s">
        <v>200</v>
      </c>
      <c r="E26" s="17">
        <v>-1.7468003581908993E-2</v>
      </c>
      <c r="F26" s="17">
        <v>-1.5430019578475928E-2</v>
      </c>
      <c r="G26" s="17">
        <v>-0.13316031506611684</v>
      </c>
      <c r="H26" s="17">
        <v>-6.7227399714477137E-2</v>
      </c>
      <c r="I26" s="17">
        <v>-0.29991750741481377</v>
      </c>
      <c r="J26" s="17">
        <v>-0.17373398979116664</v>
      </c>
      <c r="K26" s="17">
        <v>-6.4305049936862341E-2</v>
      </c>
      <c r="L26" s="17">
        <v>-0.19166078386090454</v>
      </c>
      <c r="M26" s="17">
        <v>-0.13145315629104365</v>
      </c>
    </row>
    <row r="27" spans="1:13" x14ac:dyDescent="0.3">
      <c r="A27" t="s">
        <v>89</v>
      </c>
      <c r="B27" t="s">
        <v>194</v>
      </c>
      <c r="D27" t="s">
        <v>157</v>
      </c>
      <c r="E27" s="17">
        <v>1.0269535917171901</v>
      </c>
      <c r="F27" s="17">
        <v>1.0259166410839484</v>
      </c>
      <c r="G27" s="17">
        <v>0.91962102158557779</v>
      </c>
      <c r="H27" s="17">
        <v>0.97974840098567317</v>
      </c>
      <c r="I27" s="17">
        <v>0.74252331558606199</v>
      </c>
      <c r="J27" s="17">
        <v>0.88312099947631506</v>
      </c>
      <c r="K27" s="17">
        <v>0.98803573169490588</v>
      </c>
      <c r="L27" s="17">
        <v>0.85808426502990476</v>
      </c>
      <c r="M27" s="17">
        <v>0.91668086324386477</v>
      </c>
    </row>
    <row r="28" spans="1:13" x14ac:dyDescent="0.3">
      <c r="A28" t="s">
        <v>89</v>
      </c>
      <c r="B28" t="s">
        <v>194</v>
      </c>
      <c r="D28" t="s">
        <v>158</v>
      </c>
      <c r="E28" s="17">
        <v>0.58078854384225964</v>
      </c>
      <c r="F28" s="17">
        <v>1.3232889325047634</v>
      </c>
      <c r="G28" s="17">
        <v>1.2195611204521248</v>
      </c>
      <c r="H28" s="17">
        <v>0.97330951312024538</v>
      </c>
      <c r="I28" s="17">
        <v>0.76086907949263938</v>
      </c>
      <c r="J28" s="17">
        <v>1.0697416228259644</v>
      </c>
      <c r="K28" s="17">
        <v>0.89059841177499355</v>
      </c>
      <c r="L28" s="17">
        <v>0.89315208261156187</v>
      </c>
      <c r="M28" s="17">
        <v>0.93269214635041242</v>
      </c>
    </row>
    <row r="29" spans="1:13" x14ac:dyDescent="0.3">
      <c r="A29" t="s">
        <v>89</v>
      </c>
      <c r="B29" t="s">
        <v>194</v>
      </c>
      <c r="D29" t="s">
        <v>153</v>
      </c>
      <c r="E29" s="17">
        <v>-6.0828289277157215E-2</v>
      </c>
      <c r="F29" s="17">
        <v>-5.9899246978426315E-2</v>
      </c>
      <c r="G29" s="17">
        <v>-0.15348407510438711</v>
      </c>
      <c r="H29" s="17">
        <v>-0.10086997063878358</v>
      </c>
      <c r="I29" s="17">
        <v>-0.31198392940305947</v>
      </c>
      <c r="J29" s="17">
        <v>-0.1789442127223389</v>
      </c>
      <c r="K29" s="17">
        <v>-9.1047856049085454E-2</v>
      </c>
      <c r="L29" s="17">
        <v>-0.20555477284848406</v>
      </c>
      <c r="M29" s="17">
        <v>-0.15490557183252349</v>
      </c>
    </row>
    <row r="30" spans="1:13" x14ac:dyDescent="0.3">
      <c r="A30" t="s">
        <v>201</v>
      </c>
      <c r="E30" s="17">
        <v>1.0269535917171901</v>
      </c>
      <c r="F30" s="17">
        <v>1.0259166410839484</v>
      </c>
      <c r="G30" s="17">
        <v>0.91962102158557779</v>
      </c>
      <c r="H30" s="17">
        <v>0.97974840098567317</v>
      </c>
      <c r="I30" s="17">
        <v>0.74252331558606199</v>
      </c>
      <c r="J30" s="17">
        <v>0.88312099947631506</v>
      </c>
      <c r="K30" s="17">
        <v>0.98803573169490588</v>
      </c>
      <c r="L30" s="17">
        <v>0.85808426502990476</v>
      </c>
      <c r="M30" s="17">
        <v>0.91668086324386477</v>
      </c>
    </row>
    <row r="31" spans="1:13" x14ac:dyDescent="0.3">
      <c r="A31" t="s">
        <v>202</v>
      </c>
      <c r="E31" s="17">
        <v>0.58078854384225964</v>
      </c>
      <c r="F31" s="17">
        <v>1.3232889325047634</v>
      </c>
      <c r="G31" s="17">
        <v>1.2195611204521248</v>
      </c>
      <c r="H31" s="17">
        <v>0.97330951312024538</v>
      </c>
      <c r="I31" s="17">
        <v>0.76086907949263938</v>
      </c>
      <c r="J31" s="17">
        <v>1.0697416228259644</v>
      </c>
      <c r="K31" s="17">
        <v>0.89059841177499355</v>
      </c>
      <c r="L31" s="17">
        <v>0.89315208261156187</v>
      </c>
      <c r="M31" s="17">
        <v>0.93269214635041242</v>
      </c>
    </row>
    <row r="32" spans="1:13" x14ac:dyDescent="0.3">
      <c r="A32" t="s">
        <v>203</v>
      </c>
      <c r="E32" s="17">
        <v>-6.0828289277157215E-2</v>
      </c>
      <c r="F32" s="17">
        <v>-5.9899246978426315E-2</v>
      </c>
      <c r="G32" s="17">
        <v>-0.15348407510438711</v>
      </c>
      <c r="H32" s="17">
        <v>-0.10086997063878358</v>
      </c>
      <c r="I32" s="17">
        <v>-0.31198392940305947</v>
      </c>
      <c r="J32" s="17">
        <v>-0.1789442127223389</v>
      </c>
      <c r="K32" s="17">
        <v>-9.1047856049085454E-2</v>
      </c>
      <c r="L32" s="17">
        <v>-0.20555477284848406</v>
      </c>
      <c r="M32" s="17">
        <v>-0.15490557183252349</v>
      </c>
    </row>
    <row r="33" spans="1:13" x14ac:dyDescent="0.3">
      <c r="A33" t="s">
        <v>90</v>
      </c>
      <c r="B33" t="s">
        <v>27</v>
      </c>
      <c r="D33" t="s">
        <v>157</v>
      </c>
      <c r="E33" s="17">
        <v>1.0876529941967941</v>
      </c>
      <c r="F33" s="17">
        <v>1.0890777363660236</v>
      </c>
      <c r="G33" s="17">
        <v>0.94545254221119124</v>
      </c>
      <c r="H33" s="17">
        <v>1.0266476156039677</v>
      </c>
      <c r="I33" s="17">
        <v>0.77057489417795555</v>
      </c>
      <c r="J33" s="17">
        <v>0.91229514516956378</v>
      </c>
      <c r="K33" s="17">
        <v>1.0327527023110237</v>
      </c>
      <c r="L33" s="17">
        <v>0.89101992107471306</v>
      </c>
      <c r="M33" s="17">
        <v>0.95754775933438219</v>
      </c>
    </row>
    <row r="34" spans="1:13" x14ac:dyDescent="0.3">
      <c r="A34" t="s">
        <v>90</v>
      </c>
      <c r="B34" t="s">
        <v>27</v>
      </c>
      <c r="D34" t="s">
        <v>158</v>
      </c>
      <c r="E34" s="17">
        <v>0.61496786486375599</v>
      </c>
      <c r="F34" s="17">
        <v>1.3013116935801248</v>
      </c>
      <c r="G34" s="17">
        <v>1.1693785291731202</v>
      </c>
      <c r="H34" s="17">
        <v>0.97342391149674623</v>
      </c>
      <c r="I34" s="17">
        <v>0.74843177751522783</v>
      </c>
      <c r="J34" s="17">
        <v>1.0685789057212833</v>
      </c>
      <c r="K34" s="17">
        <v>0.89591557887072359</v>
      </c>
      <c r="L34" s="17">
        <v>0.88875085434594203</v>
      </c>
      <c r="M34" s="17">
        <v>0.93135732449946607</v>
      </c>
    </row>
    <row r="35" spans="1:13" x14ac:dyDescent="0.3">
      <c r="A35" t="s">
        <v>90</v>
      </c>
      <c r="B35" t="s">
        <v>27</v>
      </c>
      <c r="D35" t="s">
        <v>153</v>
      </c>
      <c r="E35" s="17">
        <v>1.4635365777144226E-3</v>
      </c>
      <c r="F35" s="17">
        <v>-1.8218238512820359E-3</v>
      </c>
      <c r="G35" s="17">
        <v>-0.12577013406566021</v>
      </c>
      <c r="H35" s="17">
        <v>-5.4375974571133051E-2</v>
      </c>
      <c r="I35" s="17">
        <v>-0.2938774558754374</v>
      </c>
      <c r="J35" s="17">
        <v>-0.15958263275993523</v>
      </c>
      <c r="K35" s="17">
        <v>-3.9594748484786751E-2</v>
      </c>
      <c r="L35" s="17">
        <v>-0.17873838441678952</v>
      </c>
      <c r="M35" s="17">
        <v>-0.11771511661979307</v>
      </c>
    </row>
    <row r="36" spans="1:13" x14ac:dyDescent="0.3">
      <c r="A36" t="s">
        <v>90</v>
      </c>
      <c r="B36" t="s">
        <v>25</v>
      </c>
      <c r="D36" t="s">
        <v>157</v>
      </c>
      <c r="E36" s="17">
        <v>1.0500943094621702</v>
      </c>
      <c r="F36" s="17">
        <v>1.0767063970995492</v>
      </c>
      <c r="G36" s="17">
        <v>0.9408498469951011</v>
      </c>
      <c r="H36" s="17">
        <v>1.0104561145854223</v>
      </c>
      <c r="I36" s="17">
        <v>0.78298553379543978</v>
      </c>
      <c r="J36" s="17">
        <v>0.90554493440337824</v>
      </c>
      <c r="K36" s="17">
        <v>1.0019225182021778</v>
      </c>
      <c r="L36" s="17">
        <v>0.88664354031483716</v>
      </c>
      <c r="M36" s="17">
        <v>0.94654294423952035</v>
      </c>
    </row>
    <row r="37" spans="1:13" x14ac:dyDescent="0.3">
      <c r="A37" t="s">
        <v>90</v>
      </c>
      <c r="B37" t="s">
        <v>25</v>
      </c>
      <c r="D37" t="s">
        <v>158</v>
      </c>
      <c r="E37" s="17">
        <v>0.60087552917814469</v>
      </c>
      <c r="F37" s="17">
        <v>1.3235515548002188</v>
      </c>
      <c r="G37" s="17">
        <v>1.2171849441941494</v>
      </c>
      <c r="H37" s="17">
        <v>0.98665146285101624</v>
      </c>
      <c r="I37" s="17">
        <v>0.75676430328441724</v>
      </c>
      <c r="J37" s="17">
        <v>1.0640036089359455</v>
      </c>
      <c r="K37" s="17">
        <v>0.89999636535685978</v>
      </c>
      <c r="L37" s="17">
        <v>0.8925344210191748</v>
      </c>
      <c r="M37" s="17">
        <v>0.93878369543641504</v>
      </c>
    </row>
    <row r="38" spans="1:13" x14ac:dyDescent="0.3">
      <c r="A38" t="s">
        <v>90</v>
      </c>
      <c r="B38" t="s">
        <v>25</v>
      </c>
      <c r="D38" t="s">
        <v>153</v>
      </c>
      <c r="E38" s="17">
        <v>-5.0984914314495346E-2</v>
      </c>
      <c r="F38" s="17">
        <v>-4.5949659720699462E-2</v>
      </c>
      <c r="G38" s="17">
        <v>-0.14487576281752593</v>
      </c>
      <c r="H38" s="17">
        <v>-9.0268409683092521E-2</v>
      </c>
      <c r="I38" s="17">
        <v>-0.30758861360071316</v>
      </c>
      <c r="J38" s="17">
        <v>-0.17942997839681715</v>
      </c>
      <c r="K38" s="17">
        <v>-8.2366467236944088E-2</v>
      </c>
      <c r="L38" s="17">
        <v>-0.20157308378833103</v>
      </c>
      <c r="M38" s="17">
        <v>-0.1477191095092929</v>
      </c>
    </row>
    <row r="39" spans="1:13" x14ac:dyDescent="0.3">
      <c r="A39" t="s">
        <v>90</v>
      </c>
      <c r="B39" t="s">
        <v>26</v>
      </c>
      <c r="D39" t="s">
        <v>157</v>
      </c>
      <c r="E39" s="17">
        <v>1.2447384606308454</v>
      </c>
      <c r="F39" s="17">
        <v>1.2447384606308409</v>
      </c>
      <c r="G39" s="17">
        <v>1.1316008411577261</v>
      </c>
      <c r="H39" s="17">
        <v>1.1974189590225381</v>
      </c>
      <c r="I39" s="17">
        <v>0.90360284701626814</v>
      </c>
      <c r="J39" s="17">
        <v>1.0523554876944488</v>
      </c>
      <c r="K39" s="17">
        <v>1.2252087787906076</v>
      </c>
      <c r="L39" s="17">
        <v>1.0418115072373237</v>
      </c>
      <c r="M39" s="17">
        <v>1.1185103815789841</v>
      </c>
    </row>
    <row r="40" spans="1:13" x14ac:dyDescent="0.3">
      <c r="A40" t="s">
        <v>90</v>
      </c>
      <c r="B40" t="s">
        <v>26</v>
      </c>
      <c r="D40" t="s">
        <v>158</v>
      </c>
      <c r="E40" s="17">
        <v>0.69996687202844143</v>
      </c>
      <c r="F40" s="17">
        <v>1.3145935742459138</v>
      </c>
      <c r="G40" s="17">
        <v>1.1507820881512083</v>
      </c>
      <c r="H40" s="17">
        <v>1.0224863659947054</v>
      </c>
      <c r="I40" s="17">
        <v>0.75300045775301994</v>
      </c>
      <c r="J40" s="17">
        <v>1.0563677916664467</v>
      </c>
      <c r="K40" s="17">
        <v>0.90036084840218744</v>
      </c>
      <c r="L40" s="17">
        <v>0.88863327313987606</v>
      </c>
      <c r="M40" s="17">
        <v>0.95457260812591682</v>
      </c>
    </row>
    <row r="41" spans="1:13" x14ac:dyDescent="0.3">
      <c r="A41" t="s">
        <v>90</v>
      </c>
      <c r="B41" t="s">
        <v>26</v>
      </c>
      <c r="D41" t="s">
        <v>153</v>
      </c>
      <c r="E41" s="17">
        <v>9.8330949549076299E-2</v>
      </c>
      <c r="F41" s="17">
        <v>0.11235227553523996</v>
      </c>
      <c r="G41" s="17">
        <v>-2.9655559686779132E-2</v>
      </c>
      <c r="H41" s="17">
        <v>4.8221520647104235E-2</v>
      </c>
      <c r="I41" s="17">
        <v>-0.20653163033860367</v>
      </c>
      <c r="J41" s="17">
        <v>-3.769097069815143E-2</v>
      </c>
      <c r="K41" s="17">
        <v>7.6574368753894881E-2</v>
      </c>
      <c r="L41" s="17">
        <v>-7.2193298182301371E-2</v>
      </c>
      <c r="M41" s="17">
        <v>-1.2323719928194435E-2</v>
      </c>
    </row>
    <row r="42" spans="1:13" x14ac:dyDescent="0.3">
      <c r="A42" t="s">
        <v>204</v>
      </c>
      <c r="E42" s="17">
        <v>1.135203784902193</v>
      </c>
      <c r="F42" s="17">
        <v>1.1387280873415426</v>
      </c>
      <c r="G42" s="17">
        <v>1.0029790848392883</v>
      </c>
      <c r="H42" s="17">
        <v>1.0796969002092067</v>
      </c>
      <c r="I42" s="17">
        <v>0.8138458647682536</v>
      </c>
      <c r="J42" s="17">
        <v>0.95620506192503729</v>
      </c>
      <c r="K42" s="17">
        <v>1.0899970790177229</v>
      </c>
      <c r="L42" s="17">
        <v>0.93827966692630438</v>
      </c>
      <c r="M42" s="17">
        <v>1.007671498658264</v>
      </c>
    </row>
    <row r="43" spans="1:13" x14ac:dyDescent="0.3">
      <c r="A43" t="s">
        <v>205</v>
      </c>
      <c r="E43" s="17">
        <v>0.64136833836754792</v>
      </c>
      <c r="F43" s="17">
        <v>1.307753913603094</v>
      </c>
      <c r="G43" s="17">
        <v>1.1665435442387286</v>
      </c>
      <c r="H43" s="17">
        <v>0.99130714657252783</v>
      </c>
      <c r="I43" s="17">
        <v>0.75072413368014523</v>
      </c>
      <c r="J43" s="17">
        <v>1.0638973861036285</v>
      </c>
      <c r="K43" s="17">
        <v>0.89780984756627513</v>
      </c>
      <c r="L43" s="17">
        <v>0.88902360924931811</v>
      </c>
      <c r="M43" s="17">
        <v>0.94001801975255939</v>
      </c>
    </row>
    <row r="44" spans="1:13" x14ac:dyDescent="0.3">
      <c r="A44" t="s">
        <v>206</v>
      </c>
      <c r="E44" s="17">
        <v>2.9153734323829263E-2</v>
      </c>
      <c r="F44" s="17">
        <v>3.2106031229293473E-2</v>
      </c>
      <c r="G44" s="17">
        <v>-9.5997576974548693E-2</v>
      </c>
      <c r="H44" s="17">
        <v>-2.368450330830392E-2</v>
      </c>
      <c r="I44" s="17">
        <v>-0.26665528915344794</v>
      </c>
      <c r="J44" s="17">
        <v>-0.12248067888561956</v>
      </c>
      <c r="K44" s="17">
        <v>-5.842018620966589E-3</v>
      </c>
      <c r="L44" s="17">
        <v>-0.14638178407157662</v>
      </c>
      <c r="M44" s="17">
        <v>-8.5988996772308965E-2</v>
      </c>
    </row>
    <row r="45" spans="1:13" x14ac:dyDescent="0.3">
      <c r="A45" t="s">
        <v>93</v>
      </c>
      <c r="B45" t="s">
        <v>194</v>
      </c>
      <c r="D45" t="s">
        <v>157</v>
      </c>
      <c r="E45" s="17">
        <v>0.81730233493899818</v>
      </c>
      <c r="F45" s="17">
        <v>0.81726408291063279</v>
      </c>
      <c r="G45" s="17">
        <v>0.77655514316344354</v>
      </c>
      <c r="H45" s="17">
        <v>0.79888472093003815</v>
      </c>
      <c r="I45" s="17">
        <v>0.62598311814180307</v>
      </c>
      <c r="J45" s="17">
        <v>0.76155530560686568</v>
      </c>
      <c r="K45" s="17">
        <v>0.82313296971869709</v>
      </c>
      <c r="L45" s="17">
        <v>0.72661226693261838</v>
      </c>
      <c r="M45" s="17">
        <v>0.76029482139543003</v>
      </c>
    </row>
    <row r="46" spans="1:13" x14ac:dyDescent="0.3">
      <c r="A46" t="s">
        <v>93</v>
      </c>
      <c r="B46" t="s">
        <v>194</v>
      </c>
      <c r="D46" t="s">
        <v>158</v>
      </c>
      <c r="E46" s="17">
        <v>0.4631171227451662</v>
      </c>
      <c r="F46" s="17">
        <v>1.3650788647383405</v>
      </c>
      <c r="G46" s="17">
        <v>1.3561917394902918</v>
      </c>
      <c r="H46" s="17">
        <v>0.9319301909636919</v>
      </c>
      <c r="I46" s="17">
        <v>0.78335743810352254</v>
      </c>
      <c r="J46" s="17">
        <v>1.0821568946124756</v>
      </c>
      <c r="K46" s="17">
        <v>0.8755372079965883</v>
      </c>
      <c r="L46" s="17">
        <v>0.90201967202336708</v>
      </c>
      <c r="M46" s="17">
        <v>0.91642326952361597</v>
      </c>
    </row>
    <row r="47" spans="1:13" x14ac:dyDescent="0.3">
      <c r="A47" t="s">
        <v>93</v>
      </c>
      <c r="B47" t="s">
        <v>194</v>
      </c>
      <c r="D47" t="s">
        <v>153</v>
      </c>
      <c r="E47" s="17">
        <v>-0.23965956322640214</v>
      </c>
      <c r="F47" s="17">
        <v>-0.23552226464004158</v>
      </c>
      <c r="G47" s="17">
        <v>-0.25806872865681529</v>
      </c>
      <c r="H47" s="17">
        <v>-0.24654791920583566</v>
      </c>
      <c r="I47" s="17">
        <v>-0.39184046739222539</v>
      </c>
      <c r="J47" s="17">
        <v>-0.27621035216448231</v>
      </c>
      <c r="K47" s="17">
        <v>-0.23201403559462286</v>
      </c>
      <c r="L47" s="17">
        <v>-0.30721920637263822</v>
      </c>
      <c r="M47" s="17">
        <v>-0.27877917080956011</v>
      </c>
    </row>
    <row r="48" spans="1:13" x14ac:dyDescent="0.3">
      <c r="A48" t="s">
        <v>207</v>
      </c>
      <c r="E48" s="17">
        <v>0.81730233493899818</v>
      </c>
      <c r="F48" s="17">
        <v>0.81726408291063279</v>
      </c>
      <c r="G48" s="17">
        <v>0.77655514316344354</v>
      </c>
      <c r="H48" s="17">
        <v>0.79888472093003815</v>
      </c>
      <c r="I48" s="17">
        <v>0.62598311814180307</v>
      </c>
      <c r="J48" s="17">
        <v>0.76155530560686568</v>
      </c>
      <c r="K48" s="17">
        <v>0.82313296971869709</v>
      </c>
      <c r="L48" s="17">
        <v>0.72661226693261838</v>
      </c>
      <c r="M48" s="17">
        <v>0.76029482139543003</v>
      </c>
    </row>
    <row r="49" spans="1:13" x14ac:dyDescent="0.3">
      <c r="A49" t="s">
        <v>208</v>
      </c>
      <c r="E49" s="17">
        <v>0.4631171227451662</v>
      </c>
      <c r="F49" s="17">
        <v>1.3650788647383405</v>
      </c>
      <c r="G49" s="17">
        <v>1.3561917394902918</v>
      </c>
      <c r="H49" s="17">
        <v>0.9319301909636919</v>
      </c>
      <c r="I49" s="17">
        <v>0.78335743810352254</v>
      </c>
      <c r="J49" s="17">
        <v>1.0821568946124756</v>
      </c>
      <c r="K49" s="17">
        <v>0.8755372079965883</v>
      </c>
      <c r="L49" s="17">
        <v>0.90201967202336708</v>
      </c>
      <c r="M49" s="17">
        <v>0.91642326952361597</v>
      </c>
    </row>
    <row r="50" spans="1:13" x14ac:dyDescent="0.3">
      <c r="A50" t="s">
        <v>209</v>
      </c>
      <c r="E50" s="17">
        <v>-0.23965956322640214</v>
      </c>
      <c r="F50" s="17">
        <v>-0.23552226464004158</v>
      </c>
      <c r="G50" s="17">
        <v>-0.25806872865681529</v>
      </c>
      <c r="H50" s="17">
        <v>-0.24654791920583566</v>
      </c>
      <c r="I50" s="17">
        <v>-0.39184046739222539</v>
      </c>
      <c r="J50" s="17">
        <v>-0.27621035216448231</v>
      </c>
      <c r="K50" s="17">
        <v>-0.23201403559462286</v>
      </c>
      <c r="L50" s="17">
        <v>-0.30721920637263822</v>
      </c>
      <c r="M50" s="17">
        <v>-0.27877917080956011</v>
      </c>
    </row>
    <row r="51" spans="1:13" x14ac:dyDescent="0.3">
      <c r="A51" t="s">
        <v>91</v>
      </c>
      <c r="B51" t="s">
        <v>22</v>
      </c>
      <c r="D51" t="s">
        <v>157</v>
      </c>
      <c r="E51" s="17">
        <v>1.0012642225031605</v>
      </c>
      <c r="F51" s="17">
        <v>0.82778003373412934</v>
      </c>
      <c r="G51" s="17">
        <v>0.34285569582360509</v>
      </c>
      <c r="H51" s="17">
        <v>0.64791022276866295</v>
      </c>
      <c r="I51" s="17">
        <v>0.60417625775756101</v>
      </c>
      <c r="J51" s="17">
        <v>0.91170325001534536</v>
      </c>
      <c r="K51" s="17">
        <v>1.2446606630650869</v>
      </c>
      <c r="L51" s="17">
        <v>0.89496614922923878</v>
      </c>
      <c r="M51" s="17">
        <v>0.77370570205398004</v>
      </c>
    </row>
    <row r="52" spans="1:13" x14ac:dyDescent="0.3">
      <c r="A52" t="s">
        <v>91</v>
      </c>
      <c r="B52" t="s">
        <v>22</v>
      </c>
      <c r="D52" t="s">
        <v>158</v>
      </c>
      <c r="E52" s="17">
        <v>0.53003098877781796</v>
      </c>
      <c r="F52" s="17">
        <v>0.58402784882338321</v>
      </c>
      <c r="G52" s="17">
        <v>0.92336141121823812</v>
      </c>
      <c r="H52" s="17">
        <v>0.6117758713755137</v>
      </c>
      <c r="I52" s="17">
        <v>1.5406259736865913</v>
      </c>
      <c r="J52" s="17">
        <v>1.0155057851077918</v>
      </c>
      <c r="K52" s="17">
        <v>1.6215820555608202</v>
      </c>
      <c r="L52" s="17">
        <v>1.3744058844448692</v>
      </c>
      <c r="M52" s="17">
        <v>0.90877566273894017</v>
      </c>
    </row>
    <row r="53" spans="1:13" x14ac:dyDescent="0.3">
      <c r="A53" t="s">
        <v>91</v>
      </c>
      <c r="B53" t="s">
        <v>22</v>
      </c>
      <c r="D53" t="s">
        <v>153</v>
      </c>
      <c r="E53" s="17">
        <v>1.2642225031606162E-3</v>
      </c>
      <c r="F53" s="17">
        <v>-0.17221996626587072</v>
      </c>
      <c r="G53" s="17">
        <v>-0.39306341071156248</v>
      </c>
      <c r="H53" s="17">
        <v>-0.1810738940159104</v>
      </c>
      <c r="I53" s="17">
        <v>3.852943365334551E-3</v>
      </c>
      <c r="J53" s="17">
        <v>-8.8296749984654782E-2</v>
      </c>
      <c r="K53" s="17">
        <v>0.18539110768103528</v>
      </c>
      <c r="L53" s="17">
        <v>4.6590812106615184E-2</v>
      </c>
      <c r="M53" s="17">
        <v>-6.0734528290214813E-2</v>
      </c>
    </row>
    <row r="54" spans="1:13" x14ac:dyDescent="0.3">
      <c r="A54" t="s">
        <v>91</v>
      </c>
      <c r="B54" t="s">
        <v>20</v>
      </c>
      <c r="D54" t="s">
        <v>157</v>
      </c>
      <c r="E54" s="17">
        <v>1.0012642225031605</v>
      </c>
      <c r="F54" s="17">
        <v>1.0012642225031605</v>
      </c>
      <c r="G54" s="17">
        <v>1.1786042132357921</v>
      </c>
      <c r="H54" s="17">
        <v>1.0568054538831706</v>
      </c>
      <c r="I54" s="17">
        <v>1.4707519243104552</v>
      </c>
      <c r="J54" s="17">
        <v>1.3216531411975601</v>
      </c>
      <c r="K54" s="17">
        <v>0.58455819390984987</v>
      </c>
      <c r="L54" s="17">
        <v>0.95560424504342034</v>
      </c>
      <c r="M54" s="17">
        <v>1.0212184807212672</v>
      </c>
    </row>
    <row r="55" spans="1:13" x14ac:dyDescent="0.3">
      <c r="A55" t="s">
        <v>91</v>
      </c>
      <c r="B55" t="s">
        <v>20</v>
      </c>
      <c r="D55" t="s">
        <v>158</v>
      </c>
      <c r="E55" s="17">
        <v>2.5733919891276384</v>
      </c>
      <c r="F55" s="17">
        <v>0.42790625780206792</v>
      </c>
      <c r="G55" s="17">
        <v>1.7911955012716652</v>
      </c>
      <c r="H55" s="17">
        <v>1.2080219710124629</v>
      </c>
      <c r="I55" s="17">
        <v>0.48318602169435465</v>
      </c>
      <c r="J55" s="17">
        <v>0.94273262194234408</v>
      </c>
      <c r="K55" s="17">
        <v>1.0216704688380969</v>
      </c>
      <c r="L55" s="17">
        <v>0.72424139754896766</v>
      </c>
      <c r="M55" s="17">
        <v>0.99034341277818871</v>
      </c>
    </row>
    <row r="56" spans="1:13" x14ac:dyDescent="0.3">
      <c r="A56" t="s">
        <v>91</v>
      </c>
      <c r="B56" t="s">
        <v>20</v>
      </c>
      <c r="D56" t="s">
        <v>153</v>
      </c>
      <c r="E56" s="17">
        <v>-4.6415026187463869E-2</v>
      </c>
      <c r="F56" s="17">
        <v>-4.6415026187466117E-2</v>
      </c>
      <c r="G56" s="17">
        <v>0.12248020308170686</v>
      </c>
      <c r="H56" s="17">
        <v>6.4813846506398274E-3</v>
      </c>
      <c r="I56" s="17">
        <v>0.40071611839090993</v>
      </c>
      <c r="J56" s="17">
        <v>0.25871727733100947</v>
      </c>
      <c r="K56" s="17">
        <v>-0.44327791056204774</v>
      </c>
      <c r="L56" s="17">
        <v>-8.9900719006266408E-2</v>
      </c>
      <c r="M56" s="17">
        <v>-2.7410970741649457E-2</v>
      </c>
    </row>
    <row r="57" spans="1:13" x14ac:dyDescent="0.3">
      <c r="A57" t="s">
        <v>91</v>
      </c>
      <c r="B57" t="s">
        <v>18</v>
      </c>
      <c r="D57" t="s">
        <v>157</v>
      </c>
      <c r="E57" s="17">
        <v>1.01194987336401</v>
      </c>
      <c r="F57" s="17">
        <v>1.019669459907989</v>
      </c>
      <c r="G57" s="17">
        <v>1.0174598090453213</v>
      </c>
      <c r="H57" s="17">
        <v>1.0163679615215611</v>
      </c>
      <c r="I57" s="17">
        <v>1.030759741663021</v>
      </c>
      <c r="J57" s="17">
        <v>1.0266764158741108</v>
      </c>
      <c r="K57" s="17">
        <v>1.0285195109895868</v>
      </c>
      <c r="L57" s="17">
        <v>1.0286536019890278</v>
      </c>
      <c r="M57" s="17">
        <v>1.0224757072993824</v>
      </c>
    </row>
    <row r="58" spans="1:13" x14ac:dyDescent="0.3">
      <c r="A58" t="s">
        <v>91</v>
      </c>
      <c r="B58" t="s">
        <v>18</v>
      </c>
      <c r="D58" t="s">
        <v>158</v>
      </c>
      <c r="E58" s="17">
        <v>0.94163404755205082</v>
      </c>
      <c r="F58" s="17">
        <v>1.0124636432805165</v>
      </c>
      <c r="G58" s="17">
        <v>1.0011621203024108</v>
      </c>
      <c r="H58" s="17">
        <v>0.98427572943872921</v>
      </c>
      <c r="I58" s="17">
        <v>0.99785517143506319</v>
      </c>
      <c r="J58" s="17">
        <v>0.99328311815361048</v>
      </c>
      <c r="K58" s="17">
        <v>1.007062874908033</v>
      </c>
      <c r="L58" s="17">
        <v>0.99938209719564608</v>
      </c>
      <c r="M58" s="17">
        <v>0.99177364167744408</v>
      </c>
    </row>
    <row r="59" spans="1:13" x14ac:dyDescent="0.3">
      <c r="A59" t="s">
        <v>91</v>
      </c>
      <c r="B59" t="s">
        <v>18</v>
      </c>
      <c r="D59" t="s">
        <v>153</v>
      </c>
      <c r="E59" s="17">
        <v>2.2067243626437204E-2</v>
      </c>
      <c r="F59" s="17">
        <v>3.4805925159697999E-2</v>
      </c>
      <c r="G59" s="17">
        <v>3.600849413438105E-2</v>
      </c>
      <c r="H59" s="17">
        <v>3.0960554306838851E-2</v>
      </c>
      <c r="I59" s="17">
        <v>3.3786433522644453E-2</v>
      </c>
      <c r="J59" s="17">
        <v>2.684261219427244E-2</v>
      </c>
      <c r="K59" s="17">
        <v>3.4095073114438559E-2</v>
      </c>
      <c r="L59" s="17">
        <v>3.1574706277118635E-2</v>
      </c>
      <c r="M59" s="17">
        <v>3.1267630291978543E-2</v>
      </c>
    </row>
    <row r="60" spans="1:13" x14ac:dyDescent="0.3">
      <c r="A60" t="s">
        <v>91</v>
      </c>
      <c r="B60" t="s">
        <v>17</v>
      </c>
      <c r="D60" t="s">
        <v>157</v>
      </c>
      <c r="E60" s="17">
        <v>1.0317730448744435</v>
      </c>
      <c r="F60" s="17">
        <v>0.98872796790730111</v>
      </c>
      <c r="G60" s="17">
        <v>0.96062801859710156</v>
      </c>
      <c r="H60" s="17">
        <v>0.99079564410346455</v>
      </c>
      <c r="I60" s="17">
        <v>0.87307193631428182</v>
      </c>
      <c r="J60" s="17">
        <v>0.84311774888884927</v>
      </c>
      <c r="K60" s="17">
        <v>0.87568558815961173</v>
      </c>
      <c r="L60" s="17">
        <v>0.8640807866623641</v>
      </c>
      <c r="M60" s="17">
        <v>0.92464922457537846</v>
      </c>
    </row>
    <row r="61" spans="1:13" x14ac:dyDescent="0.3">
      <c r="A61" t="s">
        <v>91</v>
      </c>
      <c r="B61" t="s">
        <v>17</v>
      </c>
      <c r="D61" t="s">
        <v>158</v>
      </c>
      <c r="E61" s="17">
        <v>0.88851450828342138</v>
      </c>
      <c r="F61" s="17">
        <v>1.0556019633327782</v>
      </c>
      <c r="G61" s="17">
        <v>1.1314561847694471</v>
      </c>
      <c r="H61" s="17">
        <v>1.0216572459178188</v>
      </c>
      <c r="I61" s="17">
        <v>0.95224711753943669</v>
      </c>
      <c r="J61" s="17">
        <v>0.86874790994871798</v>
      </c>
      <c r="K61" s="17">
        <v>0.98168528046889536</v>
      </c>
      <c r="L61" s="17">
        <v>0.93240232850931004</v>
      </c>
      <c r="M61" s="17">
        <v>0.97607776618709563</v>
      </c>
    </row>
    <row r="62" spans="1:13" x14ac:dyDescent="0.3">
      <c r="A62" t="s">
        <v>91</v>
      </c>
      <c r="B62" t="s">
        <v>17</v>
      </c>
      <c r="D62" t="s">
        <v>153</v>
      </c>
      <c r="E62" s="17">
        <v>-3.5726126285567164E-2</v>
      </c>
      <c r="F62" s="17">
        <v>-7.5955170180092929E-2</v>
      </c>
      <c r="G62" s="17">
        <v>-0.10221680504943848</v>
      </c>
      <c r="H62" s="17">
        <v>-7.4022762520127239E-2</v>
      </c>
      <c r="I62" s="17">
        <v>-0.18404491933244624</v>
      </c>
      <c r="J62" s="17">
        <v>-0.21203948701976708</v>
      </c>
      <c r="K62" s="17">
        <v>-0.18160225405643773</v>
      </c>
      <c r="L62" s="17">
        <v>-0.19244786293236982</v>
      </c>
      <c r="M62" s="17">
        <v>-0.13584184619123532</v>
      </c>
    </row>
    <row r="63" spans="1:13" x14ac:dyDescent="0.3">
      <c r="A63" t="s">
        <v>91</v>
      </c>
      <c r="B63" t="s">
        <v>19</v>
      </c>
      <c r="D63" t="s">
        <v>157</v>
      </c>
      <c r="E63" s="17">
        <v>0.98888469628161935</v>
      </c>
      <c r="F63" s="17">
        <v>0.98888469628161935</v>
      </c>
      <c r="G63" s="17">
        <v>0.99152038501633344</v>
      </c>
      <c r="H63" s="17">
        <v>0.98976170086449433</v>
      </c>
      <c r="I63" s="17">
        <v>0.99152038501633344</v>
      </c>
      <c r="J63" s="17">
        <v>0.99152038501633344</v>
      </c>
      <c r="K63" s="17">
        <v>0.99146689829343015</v>
      </c>
      <c r="L63" s="17">
        <v>0.9915025554674991</v>
      </c>
      <c r="M63" s="17">
        <v>0.99063136335768309</v>
      </c>
    </row>
    <row r="64" spans="1:13" x14ac:dyDescent="0.3">
      <c r="A64" t="s">
        <v>91</v>
      </c>
      <c r="B64" t="s">
        <v>19</v>
      </c>
      <c r="D64" t="s">
        <v>158</v>
      </c>
      <c r="E64" s="17">
        <v>0.99</v>
      </c>
      <c r="F64" s="17">
        <v>1</v>
      </c>
      <c r="G64" s="17">
        <v>1</v>
      </c>
      <c r="H64" s="17">
        <v>0.99664429530201337</v>
      </c>
      <c r="I64" s="17">
        <v>1</v>
      </c>
      <c r="J64" s="17">
        <v>1</v>
      </c>
      <c r="K64" s="17">
        <v>1</v>
      </c>
      <c r="L64" s="17">
        <v>1</v>
      </c>
      <c r="M64" s="17">
        <v>0.99831932773109244</v>
      </c>
    </row>
    <row r="65" spans="1:13" x14ac:dyDescent="0.3">
      <c r="A65" t="s">
        <v>91</v>
      </c>
      <c r="B65" t="s">
        <v>19</v>
      </c>
      <c r="D65" t="s">
        <v>153</v>
      </c>
      <c r="E65" s="17">
        <v>-2.0906241305327453E-2</v>
      </c>
      <c r="F65" s="17">
        <v>-2.0906241305327453E-2</v>
      </c>
      <c r="G65" s="17">
        <v>-1.829664849867987E-2</v>
      </c>
      <c r="H65" s="17">
        <v>-2.0037919936144222E-2</v>
      </c>
      <c r="I65" s="17">
        <v>-1.829664849867987E-2</v>
      </c>
      <c r="J65" s="17">
        <v>-1.829664849867987E-2</v>
      </c>
      <c r="K65" s="17">
        <v>-1.8349605650069087E-2</v>
      </c>
      <c r="L65" s="17">
        <v>-1.8314301517327745E-2</v>
      </c>
      <c r="M65" s="17">
        <v>-1.9176867962689904E-2</v>
      </c>
    </row>
    <row r="66" spans="1:13" x14ac:dyDescent="0.3">
      <c r="A66" t="s">
        <v>91</v>
      </c>
      <c r="B66" t="s">
        <v>21</v>
      </c>
      <c r="D66" t="s">
        <v>157</v>
      </c>
      <c r="E66" s="17">
        <v>1.0012642225031605</v>
      </c>
      <c r="F66" s="17">
        <v>1.0012642225031605</v>
      </c>
      <c r="G66" s="17"/>
      <c r="H66" s="17">
        <v>1.0321587699730597</v>
      </c>
      <c r="I66" s="17">
        <v>0.20347924528301886</v>
      </c>
      <c r="J66" s="17">
        <v>0.15126247489264583</v>
      </c>
      <c r="K66" s="17">
        <v>0.63595266488003677</v>
      </c>
      <c r="L66" s="17">
        <v>0.3589653765562954</v>
      </c>
      <c r="M66" s="17">
        <v>0.72081206607763837</v>
      </c>
    </row>
    <row r="67" spans="1:13" x14ac:dyDescent="0.3">
      <c r="A67" t="s">
        <v>91</v>
      </c>
      <c r="B67" t="s">
        <v>21</v>
      </c>
      <c r="D67" t="s">
        <v>158</v>
      </c>
      <c r="E67" s="17">
        <v>1.8696845683687666</v>
      </c>
      <c r="F67" s="17">
        <v>0.7008910667619227</v>
      </c>
      <c r="G67" s="17">
        <v>7.4878841348034714E-2</v>
      </c>
      <c r="H67" s="17">
        <v>0.78424703816189489</v>
      </c>
      <c r="I67" s="17">
        <v>1.161521920705159</v>
      </c>
      <c r="J67" s="17">
        <v>1.4094094247246021</v>
      </c>
      <c r="K67" s="17">
        <v>4.3974532941087077</v>
      </c>
      <c r="L67" s="17">
        <v>2.631897076023392</v>
      </c>
      <c r="M67" s="17">
        <v>0.93551065998754135</v>
      </c>
    </row>
    <row r="68" spans="1:13" x14ac:dyDescent="0.3">
      <c r="A68" t="s">
        <v>91</v>
      </c>
      <c r="B68" t="s">
        <v>21</v>
      </c>
      <c r="D68" t="s">
        <v>153</v>
      </c>
      <c r="E68" s="17">
        <v>-0.13507031853738538</v>
      </c>
      <c r="F68" s="17">
        <v>-0.13507031853738577</v>
      </c>
      <c r="G68" s="17"/>
      <c r="H68" s="17">
        <v>-0.10838244684327125</v>
      </c>
      <c r="I68" s="17">
        <v>-0.82422697740371986</v>
      </c>
      <c r="J68" s="17">
        <v>-0.86933378694080909</v>
      </c>
      <c r="K68" s="17">
        <v>-0.45064017719033633</v>
      </c>
      <c r="L68" s="17">
        <v>-0.68991221115966272</v>
      </c>
      <c r="M68" s="17">
        <v>-0.37733543584698176</v>
      </c>
    </row>
    <row r="69" spans="1:13" x14ac:dyDescent="0.3">
      <c r="A69" t="s">
        <v>210</v>
      </c>
      <c r="E69" s="17">
        <v>1.0151039575352585</v>
      </c>
      <c r="F69" s="17">
        <v>1.0088465600724243</v>
      </c>
      <c r="G69" s="17">
        <v>0.99691269760567558</v>
      </c>
      <c r="H69" s="17">
        <v>1.0067678747100917</v>
      </c>
      <c r="I69" s="17">
        <v>0.97990542097166411</v>
      </c>
      <c r="J69" s="17">
        <v>0.97271986016419076</v>
      </c>
      <c r="K69" s="17">
        <v>0.97521260151015343</v>
      </c>
      <c r="L69" s="17">
        <v>0.97599062102577261</v>
      </c>
      <c r="M69" s="17">
        <v>0.99135282283549231</v>
      </c>
    </row>
    <row r="70" spans="1:13" x14ac:dyDescent="0.3">
      <c r="A70" t="s">
        <v>211</v>
      </c>
      <c r="E70" s="17">
        <v>0.95198824027034323</v>
      </c>
      <c r="F70" s="17">
        <v>0.99313707568790288</v>
      </c>
      <c r="G70" s="17">
        <v>1.0448685277067733</v>
      </c>
      <c r="H70" s="17">
        <v>0.99581561498348958</v>
      </c>
      <c r="I70" s="17">
        <v>0.97156637420358372</v>
      </c>
      <c r="J70" s="17">
        <v>0.9591224905637884</v>
      </c>
      <c r="K70" s="17">
        <v>1.006347023148787</v>
      </c>
      <c r="L70" s="17">
        <v>0.97856513650104249</v>
      </c>
      <c r="M70" s="17">
        <v>0.98723409779646609</v>
      </c>
    </row>
    <row r="71" spans="1:13" x14ac:dyDescent="0.3">
      <c r="A71" t="s">
        <v>212</v>
      </c>
      <c r="E71" s="17">
        <v>1.6374804658461806E-3</v>
      </c>
      <c r="F71" s="17">
        <v>-1.6182768045514629E-3</v>
      </c>
      <c r="G71" s="17">
        <v>-8.6674591885871639E-3</v>
      </c>
      <c r="H71" s="17">
        <v>-2.9763692442665328E-3</v>
      </c>
      <c r="I71" s="17">
        <v>-3.6235525103839379E-2</v>
      </c>
      <c r="J71" s="17">
        <v>-4.754827664110365E-2</v>
      </c>
      <c r="K71" s="17">
        <v>-4.1886771420559285E-2</v>
      </c>
      <c r="L71" s="17">
        <v>-4.1833506779648089E-2</v>
      </c>
      <c r="M71" s="17">
        <v>-2.2522867010359097E-2</v>
      </c>
    </row>
    <row r="72" spans="1:13" x14ac:dyDescent="0.3">
      <c r="A72" t="s">
        <v>92</v>
      </c>
      <c r="B72" t="s">
        <v>194</v>
      </c>
      <c r="D72" t="s">
        <v>157</v>
      </c>
      <c r="E72" s="17">
        <v>-34.673972505302842</v>
      </c>
      <c r="F72" s="17">
        <v>0.30462316459819078</v>
      </c>
      <c r="G72" s="17">
        <v>0.51861422208687724</v>
      </c>
      <c r="H72" s="17">
        <v>0.30323460120760887</v>
      </c>
      <c r="I72" s="17">
        <v>0.19597959476985216</v>
      </c>
      <c r="J72" s="17">
        <v>0.45026629824607162</v>
      </c>
      <c r="K72" s="17">
        <v>0.39403996308668804</v>
      </c>
      <c r="L72" s="17">
        <v>0.32480382634523608</v>
      </c>
      <c r="M72" s="17">
        <v>0.31612358816142089</v>
      </c>
    </row>
    <row r="73" spans="1:13" x14ac:dyDescent="0.3">
      <c r="A73" t="s">
        <v>92</v>
      </c>
      <c r="B73" t="s">
        <v>194</v>
      </c>
      <c r="D73" t="s">
        <v>158</v>
      </c>
      <c r="E73" s="17">
        <v>-0.27282303436551969</v>
      </c>
      <c r="F73" s="17">
        <v>-0.58869207533836154</v>
      </c>
      <c r="G73" s="17">
        <v>4.1150613657960271</v>
      </c>
      <c r="H73" s="17">
        <v>0.61805524174787929</v>
      </c>
      <c r="I73" s="17">
        <v>0.35986540225613822</v>
      </c>
      <c r="J73" s="17">
        <v>1.8295755919945678</v>
      </c>
      <c r="K73" s="17">
        <v>0.45895430981723817</v>
      </c>
      <c r="L73" s="17">
        <v>0.65424581324325282</v>
      </c>
      <c r="M73" s="17">
        <v>0.63978407408249993</v>
      </c>
    </row>
    <row r="74" spans="1:13" x14ac:dyDescent="0.3">
      <c r="A74" t="s">
        <v>92</v>
      </c>
      <c r="B74" t="s">
        <v>194</v>
      </c>
      <c r="D74" t="s">
        <v>153</v>
      </c>
      <c r="E74" s="17">
        <v>-3.8644988489493519</v>
      </c>
      <c r="F74" s="17">
        <v>-0.75148304984560454</v>
      </c>
      <c r="G74" s="17">
        <v>-0.52625200419304186</v>
      </c>
      <c r="H74" s="17">
        <v>-0.74318845483428364</v>
      </c>
      <c r="I74" s="17">
        <v>-0.81238196158379972</v>
      </c>
      <c r="J74" s="17">
        <v>-0.58981891156967792</v>
      </c>
      <c r="K74" s="17">
        <v>-0.67808682541692311</v>
      </c>
      <c r="L74" s="17">
        <v>-0.70406339830273867</v>
      </c>
      <c r="M74" s="17">
        <v>-0.72050104259549053</v>
      </c>
    </row>
    <row r="75" spans="1:13" x14ac:dyDescent="0.3">
      <c r="A75" t="s">
        <v>213</v>
      </c>
      <c r="E75" s="17">
        <v>-34.673972505302842</v>
      </c>
      <c r="F75" s="17">
        <v>0.30462316459819078</v>
      </c>
      <c r="G75" s="17">
        <v>0.51861422208687724</v>
      </c>
      <c r="H75" s="17">
        <v>0.30323460120760887</v>
      </c>
      <c r="I75" s="17">
        <v>0.19597959476985216</v>
      </c>
      <c r="J75" s="17">
        <v>0.45026629824607162</v>
      </c>
      <c r="K75" s="17">
        <v>0.39403996308668804</v>
      </c>
      <c r="L75" s="17">
        <v>0.32480382634523608</v>
      </c>
      <c r="M75" s="17">
        <v>0.31612358816142089</v>
      </c>
    </row>
    <row r="76" spans="1:13" x14ac:dyDescent="0.3">
      <c r="A76" t="s">
        <v>214</v>
      </c>
      <c r="E76" s="17">
        <v>-0.27282303436551969</v>
      </c>
      <c r="F76" s="17">
        <v>-0.58869207533836154</v>
      </c>
      <c r="G76" s="17">
        <v>4.1150613657960271</v>
      </c>
      <c r="H76" s="17">
        <v>0.61805524174787929</v>
      </c>
      <c r="I76" s="17">
        <v>0.35986540225613822</v>
      </c>
      <c r="J76" s="17">
        <v>1.8295755919945678</v>
      </c>
      <c r="K76" s="17">
        <v>0.45895430981723817</v>
      </c>
      <c r="L76" s="17">
        <v>0.65424581324325282</v>
      </c>
      <c r="M76" s="17">
        <v>0.63978407408249993</v>
      </c>
    </row>
    <row r="77" spans="1:13" x14ac:dyDescent="0.3">
      <c r="A77" t="s">
        <v>215</v>
      </c>
      <c r="E77" s="17">
        <v>-3.8644988489493519</v>
      </c>
      <c r="F77" s="17">
        <v>-0.75148304984560454</v>
      </c>
      <c r="G77" s="17">
        <v>-0.52625200419304186</v>
      </c>
      <c r="H77" s="17">
        <v>-0.74318845483428364</v>
      </c>
      <c r="I77" s="17">
        <v>-0.81238196158379972</v>
      </c>
      <c r="J77" s="17">
        <v>-0.58981891156967792</v>
      </c>
      <c r="K77" s="17">
        <v>-0.67808682541692311</v>
      </c>
      <c r="L77" s="17">
        <v>-0.70406339830273867</v>
      </c>
      <c r="M77" s="17">
        <v>-0.72050104259549053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4898-32C8-4940-85DD-5F651DA4C711}">
  <sheetPr>
    <tabColor rgb="FF92D050"/>
  </sheetPr>
  <dimension ref="A5:M96"/>
  <sheetViews>
    <sheetView showGridLines="0" zoomScale="80" zoomScaleNormal="80" workbookViewId="0">
      <selection activeCell="B13" sqref="B13"/>
    </sheetView>
  </sheetViews>
  <sheetFormatPr defaultRowHeight="14.4" x14ac:dyDescent="0.3"/>
  <cols>
    <col min="1" max="1" width="34.6640625" bestFit="1" customWidth="1"/>
    <col min="2" max="2" width="18.21875" bestFit="1" customWidth="1"/>
    <col min="3" max="3" width="13.44140625" bestFit="1" customWidth="1"/>
    <col min="4" max="4" width="11.33203125" bestFit="1" customWidth="1"/>
    <col min="5" max="7" width="14.44140625" bestFit="1" customWidth="1"/>
    <col min="8" max="12" width="9.88671875" bestFit="1" customWidth="1"/>
    <col min="13" max="15" width="10.88671875" bestFit="1" customWidth="1"/>
    <col min="16" max="24" width="9.88671875" bestFit="1" customWidth="1"/>
    <col min="25" max="26" width="10.88671875" bestFit="1" customWidth="1"/>
    <col min="27" max="36" width="9.88671875" bestFit="1" customWidth="1"/>
    <col min="37" max="38" width="10.88671875" bestFit="1" customWidth="1"/>
    <col min="39" max="44" width="19.44140625" bestFit="1" customWidth="1"/>
    <col min="45" max="45" width="9" bestFit="1" customWidth="1"/>
    <col min="46" max="46" width="10.44140625" bestFit="1" customWidth="1"/>
    <col min="47" max="47" width="22.33203125" bestFit="1" customWidth="1"/>
    <col min="48" max="56" width="19.44140625" bestFit="1" customWidth="1"/>
    <col min="57" max="57" width="9" bestFit="1" customWidth="1"/>
    <col min="58" max="58" width="10.44140625" bestFit="1" customWidth="1"/>
    <col min="59" max="59" width="22.33203125" bestFit="1" customWidth="1"/>
    <col min="60" max="60" width="10.5546875" bestFit="1" customWidth="1"/>
    <col min="61" max="61" width="12" bestFit="1" customWidth="1"/>
    <col min="62" max="62" width="23.88671875" bestFit="1" customWidth="1"/>
    <col min="63" max="63" width="9" bestFit="1" customWidth="1"/>
    <col min="64" max="64" width="10.44140625" bestFit="1" customWidth="1"/>
    <col min="65" max="65" width="22.33203125" bestFit="1" customWidth="1"/>
    <col min="66" max="66" width="10.5546875" bestFit="1" customWidth="1"/>
    <col min="67" max="67" width="12" bestFit="1" customWidth="1"/>
    <col min="68" max="68" width="23.88671875" bestFit="1" customWidth="1"/>
    <col min="69" max="69" width="9" bestFit="1" customWidth="1"/>
    <col min="70" max="70" width="10.44140625" bestFit="1" customWidth="1"/>
    <col min="71" max="71" width="22.33203125" bestFit="1" customWidth="1"/>
    <col min="72" max="72" width="10.5546875" bestFit="1" customWidth="1"/>
    <col min="73" max="73" width="12" bestFit="1" customWidth="1"/>
    <col min="74" max="74" width="23.88671875" bestFit="1" customWidth="1"/>
    <col min="75" max="76" width="12.44140625" bestFit="1" customWidth="1"/>
    <col min="77" max="77" width="8.77734375" bestFit="1" customWidth="1"/>
    <col min="78" max="78" width="14.44140625" bestFit="1" customWidth="1"/>
    <col min="79" max="79" width="13.5546875" bestFit="1" customWidth="1"/>
    <col min="80" max="80" width="10.44140625" bestFit="1" customWidth="1"/>
    <col min="81" max="81" width="16.109375" bestFit="1" customWidth="1"/>
    <col min="82" max="734" width="10.109375" bestFit="1" customWidth="1"/>
  </cols>
  <sheetData>
    <row r="5" spans="1:13" ht="25.8" customHeight="1" x14ac:dyDescent="0.3"/>
    <row r="8" spans="1:13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10" spans="1:13" x14ac:dyDescent="0.3">
      <c r="E10" s="14" t="s">
        <v>1</v>
      </c>
      <c r="F10" s="14" t="s">
        <v>100</v>
      </c>
      <c r="G10" s="14" t="s">
        <v>102</v>
      </c>
    </row>
    <row r="11" spans="1:13" x14ac:dyDescent="0.3">
      <c r="E11" s="18">
        <v>2025</v>
      </c>
      <c r="F11" s="18">
        <v>2025</v>
      </c>
      <c r="G11" s="18">
        <v>2025</v>
      </c>
      <c r="H11" s="18">
        <v>2025</v>
      </c>
      <c r="I11" s="18">
        <v>2025</v>
      </c>
      <c r="J11" s="18">
        <v>2025</v>
      </c>
      <c r="K11" s="18">
        <v>2025</v>
      </c>
      <c r="L11" s="18">
        <v>2025</v>
      </c>
      <c r="M11" t="s">
        <v>154</v>
      </c>
    </row>
    <row r="12" spans="1:13" x14ac:dyDescent="0.3">
      <c r="E12" s="18" t="s">
        <v>104</v>
      </c>
      <c r="F12" s="18" t="s">
        <v>104</v>
      </c>
      <c r="G12" s="18" t="s">
        <v>104</v>
      </c>
      <c r="H12" t="s">
        <v>155</v>
      </c>
      <c r="I12" s="18" t="s">
        <v>108</v>
      </c>
      <c r="J12" s="18" t="s">
        <v>108</v>
      </c>
      <c r="K12" s="18" t="s">
        <v>108</v>
      </c>
      <c r="L12" t="s">
        <v>156</v>
      </c>
    </row>
    <row r="13" spans="1:13" x14ac:dyDescent="0.3">
      <c r="A13" s="14" t="s">
        <v>85</v>
      </c>
      <c r="B13" s="14" t="s">
        <v>86</v>
      </c>
      <c r="C13" s="14" t="s">
        <v>28</v>
      </c>
      <c r="D13" s="14" t="s">
        <v>149</v>
      </c>
      <c r="E13" s="18" t="s">
        <v>105</v>
      </c>
      <c r="F13" s="18" t="s">
        <v>106</v>
      </c>
      <c r="G13" s="18" t="s">
        <v>107</v>
      </c>
      <c r="I13" s="18" t="s">
        <v>109</v>
      </c>
      <c r="J13" s="18" t="s">
        <v>5</v>
      </c>
      <c r="K13" s="18" t="s">
        <v>110</v>
      </c>
    </row>
    <row r="14" spans="1:13" x14ac:dyDescent="0.3">
      <c r="A14" t="s">
        <v>87</v>
      </c>
      <c r="B14" t="s">
        <v>159</v>
      </c>
      <c r="D14" t="s">
        <v>150</v>
      </c>
      <c r="E14" s="6">
        <v>18270176.999999996</v>
      </c>
      <c r="F14" s="6">
        <v>24091844.500000004</v>
      </c>
      <c r="G14" s="6">
        <v>29060427.939999994</v>
      </c>
      <c r="H14" s="6">
        <v>71422449.440000013</v>
      </c>
      <c r="I14" s="6">
        <v>21989688.710000001</v>
      </c>
      <c r="J14" s="6">
        <v>23404056.190000001</v>
      </c>
      <c r="K14" s="6">
        <v>21139929.449999999</v>
      </c>
      <c r="L14" s="6">
        <v>66533674.350000001</v>
      </c>
      <c r="M14" s="6">
        <v>137956123.79000002</v>
      </c>
    </row>
    <row r="15" spans="1:13" x14ac:dyDescent="0.3">
      <c r="A15" t="s">
        <v>87</v>
      </c>
      <c r="B15" t="s">
        <v>159</v>
      </c>
      <c r="D15" t="s">
        <v>151</v>
      </c>
      <c r="E15" s="6">
        <v>17902923.465115197</v>
      </c>
      <c r="F15" s="6">
        <v>23598619.406511802</v>
      </c>
      <c r="G15" s="6">
        <v>32077218.41</v>
      </c>
      <c r="H15" s="6">
        <v>73578761.281626999</v>
      </c>
      <c r="I15" s="6">
        <v>30007803.209999993</v>
      </c>
      <c r="J15" s="6">
        <v>26992973.580000002</v>
      </c>
      <c r="K15" s="6">
        <v>21786030.530000001</v>
      </c>
      <c r="L15" s="6">
        <v>78786807.319999993</v>
      </c>
      <c r="M15" s="6">
        <v>152365568.60162699</v>
      </c>
    </row>
    <row r="16" spans="1:13" x14ac:dyDescent="0.3">
      <c r="A16" t="s">
        <v>87</v>
      </c>
      <c r="B16" t="s">
        <v>159</v>
      </c>
      <c r="D16" t="s">
        <v>152</v>
      </c>
      <c r="E16" s="6">
        <v>18928135.072498478</v>
      </c>
      <c r="F16" s="6">
        <v>24920142.093276463</v>
      </c>
      <c r="G16" s="6">
        <v>33841465.42255</v>
      </c>
      <c r="H16" s="6">
        <v>77689742.588324934</v>
      </c>
      <c r="I16" s="6">
        <v>31628224.583339993</v>
      </c>
      <c r="J16" s="6">
        <v>28396608.206160001</v>
      </c>
      <c r="K16" s="6">
        <v>22853546.025970001</v>
      </c>
      <c r="L16" s="6">
        <v>82878378.815469995</v>
      </c>
      <c r="M16" s="6">
        <v>160568121.40379494</v>
      </c>
    </row>
    <row r="18" spans="1:13" x14ac:dyDescent="0.3">
      <c r="A18" t="s">
        <v>160</v>
      </c>
      <c r="E18" s="6">
        <v>18270176.999999996</v>
      </c>
      <c r="F18" s="6">
        <v>24091844.500000004</v>
      </c>
      <c r="G18" s="6">
        <v>29060427.939999994</v>
      </c>
      <c r="H18" s="6">
        <v>71422449.440000013</v>
      </c>
      <c r="I18" s="6">
        <v>21989688.710000001</v>
      </c>
      <c r="J18" s="6">
        <v>23404056.190000001</v>
      </c>
      <c r="K18" s="6">
        <v>21139929.449999999</v>
      </c>
      <c r="L18" s="6">
        <v>66533674.350000001</v>
      </c>
      <c r="M18" s="6">
        <v>137956123.79000002</v>
      </c>
    </row>
    <row r="19" spans="1:13" x14ac:dyDescent="0.3">
      <c r="A19" t="s">
        <v>187</v>
      </c>
      <c r="E19" s="6">
        <v>17902923.465115197</v>
      </c>
      <c r="F19" s="6">
        <v>23598619.406511802</v>
      </c>
      <c r="G19" s="6">
        <v>32077218.41</v>
      </c>
      <c r="H19" s="6">
        <v>73578761.281626999</v>
      </c>
      <c r="I19" s="6">
        <v>30007803.209999993</v>
      </c>
      <c r="J19" s="6">
        <v>26992973.580000002</v>
      </c>
      <c r="K19" s="6">
        <v>21786030.530000001</v>
      </c>
      <c r="L19" s="6">
        <v>78786807.319999993</v>
      </c>
      <c r="M19" s="6">
        <v>152365568.60162699</v>
      </c>
    </row>
    <row r="20" spans="1:13" x14ac:dyDescent="0.3">
      <c r="A20" t="s">
        <v>161</v>
      </c>
      <c r="E20" s="6">
        <v>18928135.072498478</v>
      </c>
      <c r="F20" s="6">
        <v>24920142.093276463</v>
      </c>
      <c r="G20" s="6">
        <v>33841465.42255</v>
      </c>
      <c r="H20" s="6">
        <v>77689742.588324934</v>
      </c>
      <c r="I20" s="6">
        <v>31628224.583339993</v>
      </c>
      <c r="J20" s="6">
        <v>28396608.206160001</v>
      </c>
      <c r="K20" s="6">
        <v>22853546.025970001</v>
      </c>
      <c r="L20" s="6">
        <v>82878378.815469995</v>
      </c>
      <c r="M20" s="6">
        <v>160568121.40379494</v>
      </c>
    </row>
    <row r="22" spans="1:13" x14ac:dyDescent="0.3">
      <c r="A22" t="s">
        <v>88</v>
      </c>
      <c r="B22" t="s">
        <v>159</v>
      </c>
      <c r="D22" t="s">
        <v>150</v>
      </c>
      <c r="E22" s="6">
        <v>11180487.919501809</v>
      </c>
      <c r="F22" s="6">
        <v>14710137.40487688</v>
      </c>
      <c r="G22" s="6">
        <v>17618862.723317988</v>
      </c>
      <c r="H22" s="6">
        <v>43509488.04769668</v>
      </c>
      <c r="I22" s="6">
        <v>13284155.515628163</v>
      </c>
      <c r="J22" s="6">
        <v>14091384.98308737</v>
      </c>
      <c r="K22" s="6">
        <v>12846079.263740897</v>
      </c>
      <c r="L22" s="6">
        <v>40221619.762456432</v>
      </c>
      <c r="M22" s="6">
        <v>83731107.810153127</v>
      </c>
    </row>
    <row r="23" spans="1:13" x14ac:dyDescent="0.3">
      <c r="A23" t="s">
        <v>88</v>
      </c>
      <c r="B23" t="s">
        <v>159</v>
      </c>
      <c r="D23" t="s">
        <v>151</v>
      </c>
      <c r="E23" s="6">
        <v>10999311.522297632</v>
      </c>
      <c r="F23" s="6">
        <v>14453912.400676774</v>
      </c>
      <c r="G23" s="6">
        <v>19635609.36875074</v>
      </c>
      <c r="H23" s="6">
        <v>45088833.291725144</v>
      </c>
      <c r="I23" s="6">
        <v>18283547.537973456</v>
      </c>
      <c r="J23" s="6">
        <v>16447792.101544634</v>
      </c>
      <c r="K23" s="6">
        <v>13391748.906164814</v>
      </c>
      <c r="L23" s="6">
        <v>48123088.545682907</v>
      </c>
      <c r="M23" s="6">
        <v>93211921.837408051</v>
      </c>
    </row>
    <row r="24" spans="1:13" x14ac:dyDescent="0.3">
      <c r="A24" t="s">
        <v>88</v>
      </c>
      <c r="B24" t="s">
        <v>159</v>
      </c>
      <c r="D24" t="s">
        <v>152</v>
      </c>
      <c r="E24" s="6">
        <v>11379260.8894787</v>
      </c>
      <c r="F24" s="6">
        <v>14940672.2705267</v>
      </c>
      <c r="G24" s="6">
        <v>20325399.297635801</v>
      </c>
      <c r="H24" s="6">
        <v>46645332.457641199</v>
      </c>
      <c r="I24" s="6">
        <v>18975128.868847899</v>
      </c>
      <c r="J24" s="6">
        <v>17054295.8429645</v>
      </c>
      <c r="K24" s="6">
        <v>13728918.022774501</v>
      </c>
      <c r="L24" s="6">
        <v>49758342.734586902</v>
      </c>
      <c r="M24" s="6">
        <v>96403675.192228094</v>
      </c>
    </row>
    <row r="26" spans="1:13" x14ac:dyDescent="0.3">
      <c r="A26" t="s">
        <v>165</v>
      </c>
      <c r="E26" s="6">
        <v>11180487.919501809</v>
      </c>
      <c r="F26" s="6">
        <v>14710137.40487688</v>
      </c>
      <c r="G26" s="6">
        <v>17618862.723317988</v>
      </c>
      <c r="H26" s="6">
        <v>43509488.04769668</v>
      </c>
      <c r="I26" s="6">
        <v>13284155.515628163</v>
      </c>
      <c r="J26" s="6">
        <v>14091384.98308737</v>
      </c>
      <c r="K26" s="6">
        <v>12846079.263740897</v>
      </c>
      <c r="L26" s="6">
        <v>40221619.762456432</v>
      </c>
      <c r="M26" s="6">
        <v>83731107.810153127</v>
      </c>
    </row>
    <row r="27" spans="1:13" x14ac:dyDescent="0.3">
      <c r="A27" t="s">
        <v>193</v>
      </c>
      <c r="E27" s="6">
        <v>10999311.522297632</v>
      </c>
      <c r="F27" s="6">
        <v>14453912.400676774</v>
      </c>
      <c r="G27" s="6">
        <v>19635609.36875074</v>
      </c>
      <c r="H27" s="6">
        <v>45088833.291725144</v>
      </c>
      <c r="I27" s="6">
        <v>18283547.537973456</v>
      </c>
      <c r="J27" s="6">
        <v>16447792.101544634</v>
      </c>
      <c r="K27" s="6">
        <v>13391748.906164814</v>
      </c>
      <c r="L27" s="6">
        <v>48123088.545682907</v>
      </c>
      <c r="M27" s="6">
        <v>93211921.837408051</v>
      </c>
    </row>
    <row r="28" spans="1:13" x14ac:dyDescent="0.3">
      <c r="A28" t="s">
        <v>166</v>
      </c>
      <c r="E28" s="6">
        <v>11379260.8894787</v>
      </c>
      <c r="F28" s="6">
        <v>14940672.2705267</v>
      </c>
      <c r="G28" s="6">
        <v>20325399.297635801</v>
      </c>
      <c r="H28" s="6">
        <v>46645332.457641199</v>
      </c>
      <c r="I28" s="6">
        <v>18975128.868847899</v>
      </c>
      <c r="J28" s="6">
        <v>17054295.8429645</v>
      </c>
      <c r="K28" s="6">
        <v>13728918.022774501</v>
      </c>
      <c r="L28" s="6">
        <v>49758342.734586902</v>
      </c>
      <c r="M28" s="6">
        <v>96403675.192228094</v>
      </c>
    </row>
    <row r="30" spans="1:13" x14ac:dyDescent="0.3">
      <c r="A30" t="s">
        <v>89</v>
      </c>
      <c r="B30" t="s">
        <v>159</v>
      </c>
      <c r="D30" t="s">
        <v>150</v>
      </c>
      <c r="E30" s="6">
        <v>7089689.0804981869</v>
      </c>
      <c r="F30" s="6">
        <v>9381707.0951231234</v>
      </c>
      <c r="G30" s="6">
        <v>11441565.216682006</v>
      </c>
      <c r="H30" s="6">
        <v>27912961.392303318</v>
      </c>
      <c r="I30" s="6">
        <v>8705533.1943718381</v>
      </c>
      <c r="J30" s="6">
        <v>9312671.2069126312</v>
      </c>
      <c r="K30" s="6">
        <v>8293850.1862591021</v>
      </c>
      <c r="L30" s="6">
        <v>26312054.587543573</v>
      </c>
      <c r="M30" s="6">
        <v>54225015.97984688</v>
      </c>
    </row>
    <row r="31" spans="1:13" x14ac:dyDescent="0.3">
      <c r="A31" t="s">
        <v>89</v>
      </c>
      <c r="B31" t="s">
        <v>159</v>
      </c>
      <c r="D31" t="s">
        <v>151</v>
      </c>
      <c r="E31" s="6">
        <v>6903611.9428175651</v>
      </c>
      <c r="F31" s="6">
        <v>9144707.0058350284</v>
      </c>
      <c r="G31" s="6">
        <v>12441609.04124926</v>
      </c>
      <c r="H31" s="6">
        <v>28489927.989901856</v>
      </c>
      <c r="I31" s="6">
        <v>11724255.672026537</v>
      </c>
      <c r="J31" s="6">
        <v>10545181.478455368</v>
      </c>
      <c r="K31" s="6">
        <v>8394281.6238351874</v>
      </c>
      <c r="L31" s="6">
        <v>30663718.774317093</v>
      </c>
      <c r="M31" s="6">
        <v>59153646.764218956</v>
      </c>
    </row>
    <row r="32" spans="1:13" x14ac:dyDescent="0.3">
      <c r="A32" t="s">
        <v>89</v>
      </c>
      <c r="B32" t="s">
        <v>159</v>
      </c>
      <c r="D32" t="s">
        <v>152</v>
      </c>
      <c r="E32" s="6">
        <v>7548874.1830197778</v>
      </c>
      <c r="F32" s="6">
        <v>9979469.8227497637</v>
      </c>
      <c r="G32" s="6">
        <v>13516066.124914199</v>
      </c>
      <c r="H32" s="6">
        <v>31044410.130683742</v>
      </c>
      <c r="I32" s="6">
        <v>12653095.714492094</v>
      </c>
      <c r="J32" s="6">
        <v>11342312.363195501</v>
      </c>
      <c r="K32" s="6">
        <v>9124628.0031955</v>
      </c>
      <c r="L32" s="6">
        <v>33120036.080883093</v>
      </c>
      <c r="M32" s="6">
        <v>64164446.211566836</v>
      </c>
    </row>
    <row r="34" spans="1:13" x14ac:dyDescent="0.3">
      <c r="A34" t="s">
        <v>167</v>
      </c>
      <c r="E34" s="6">
        <v>7089689.0804981869</v>
      </c>
      <c r="F34" s="6">
        <v>9381707.0951231234</v>
      </c>
      <c r="G34" s="6">
        <v>11441565.216682006</v>
      </c>
      <c r="H34" s="6">
        <v>27912961.392303318</v>
      </c>
      <c r="I34" s="6">
        <v>8705533.1943718381</v>
      </c>
      <c r="J34" s="6">
        <v>9312671.2069126312</v>
      </c>
      <c r="K34" s="6">
        <v>8293850.1862591021</v>
      </c>
      <c r="L34" s="6">
        <v>26312054.587543573</v>
      </c>
      <c r="M34" s="6">
        <v>54225015.97984688</v>
      </c>
    </row>
    <row r="35" spans="1:13" x14ac:dyDescent="0.3">
      <c r="A35" t="s">
        <v>216</v>
      </c>
      <c r="E35" s="6">
        <v>6903611.9428175651</v>
      </c>
      <c r="F35" s="6">
        <v>9144707.0058350284</v>
      </c>
      <c r="G35" s="6">
        <v>12441609.04124926</v>
      </c>
      <c r="H35" s="6">
        <v>28489927.989901856</v>
      </c>
      <c r="I35" s="6">
        <v>11724255.672026537</v>
      </c>
      <c r="J35" s="6">
        <v>10545181.478455368</v>
      </c>
      <c r="K35" s="6">
        <v>8394281.6238351874</v>
      </c>
      <c r="L35" s="6">
        <v>30663718.774317093</v>
      </c>
      <c r="M35" s="6">
        <v>59153646.764218956</v>
      </c>
    </row>
    <row r="36" spans="1:13" x14ac:dyDescent="0.3">
      <c r="A36" t="s">
        <v>168</v>
      </c>
      <c r="E36" s="6">
        <v>7548874.1830197778</v>
      </c>
      <c r="F36" s="6">
        <v>9979469.8227497637</v>
      </c>
      <c r="G36" s="6">
        <v>13516066.124914199</v>
      </c>
      <c r="H36" s="6">
        <v>31044410.130683742</v>
      </c>
      <c r="I36" s="6">
        <v>12653095.714492094</v>
      </c>
      <c r="J36" s="6">
        <v>11342312.363195501</v>
      </c>
      <c r="K36" s="6">
        <v>9124628.0031955</v>
      </c>
      <c r="L36" s="6">
        <v>33120036.080883093</v>
      </c>
      <c r="M36" s="6">
        <v>64164446.211566836</v>
      </c>
    </row>
    <row r="38" spans="1:13" x14ac:dyDescent="0.3">
      <c r="A38" t="s">
        <v>90</v>
      </c>
      <c r="B38" t="s">
        <v>27</v>
      </c>
      <c r="D38" t="s">
        <v>150</v>
      </c>
      <c r="E38" s="6">
        <v>2934147.3862347016</v>
      </c>
      <c r="F38" s="6">
        <v>3818240.304394776</v>
      </c>
      <c r="G38" s="6">
        <v>4464968.2311826898</v>
      </c>
      <c r="H38" s="6">
        <v>11217355.921812167</v>
      </c>
      <c r="I38" s="6">
        <v>3341724.1098130834</v>
      </c>
      <c r="J38" s="6">
        <v>3570895.892486494</v>
      </c>
      <c r="K38" s="6">
        <v>3199221.2606041264</v>
      </c>
      <c r="L38" s="6">
        <v>10111841.262903703</v>
      </c>
      <c r="M38" s="6">
        <v>21329197.184715871</v>
      </c>
    </row>
    <row r="39" spans="1:13" x14ac:dyDescent="0.3">
      <c r="A39" t="s">
        <v>90</v>
      </c>
      <c r="B39" t="s">
        <v>27</v>
      </c>
      <c r="D39" t="s">
        <v>151</v>
      </c>
      <c r="E39" s="6">
        <v>2697687.0397911239</v>
      </c>
      <c r="F39" s="6">
        <v>3505939.1785340104</v>
      </c>
      <c r="G39" s="6">
        <v>4722572.5584704429</v>
      </c>
      <c r="H39" s="6">
        <v>10926198.776795577</v>
      </c>
      <c r="I39" s="6">
        <v>4336663.6196706276</v>
      </c>
      <c r="J39" s="6">
        <v>3914189.2965163039</v>
      </c>
      <c r="K39" s="6">
        <v>3097761.2098667249</v>
      </c>
      <c r="L39" s="6">
        <v>11348614.126053657</v>
      </c>
      <c r="M39" s="6">
        <v>22274812.902849235</v>
      </c>
    </row>
    <row r="40" spans="1:13" x14ac:dyDescent="0.3">
      <c r="A40" t="s">
        <v>90</v>
      </c>
      <c r="B40" t="s">
        <v>27</v>
      </c>
      <c r="D40" t="s">
        <v>152</v>
      </c>
      <c r="E40" s="6">
        <v>2929859.42979164</v>
      </c>
      <c r="F40" s="6">
        <v>3825209.1616816702</v>
      </c>
      <c r="G40" s="6">
        <v>5107316.0562991304</v>
      </c>
      <c r="H40" s="6">
        <v>11862384.647772441</v>
      </c>
      <c r="I40" s="6">
        <v>4732498.8242035098</v>
      </c>
      <c r="J40" s="6">
        <v>4248955.3782227701</v>
      </c>
      <c r="K40" s="6">
        <v>3331115.9591815802</v>
      </c>
      <c r="L40" s="6">
        <v>12312570.161607862</v>
      </c>
      <c r="M40" s="6">
        <v>24174954.8093803</v>
      </c>
    </row>
    <row r="42" spans="1:13" x14ac:dyDescent="0.3">
      <c r="A42" t="s">
        <v>90</v>
      </c>
      <c r="B42" t="s">
        <v>25</v>
      </c>
      <c r="D42" t="s">
        <v>150</v>
      </c>
      <c r="E42" s="6">
        <v>404217.3401276361</v>
      </c>
      <c r="F42" s="6">
        <v>535002.48900314164</v>
      </c>
      <c r="G42" s="6">
        <v>651196.97472101997</v>
      </c>
      <c r="H42" s="6">
        <v>1590416.8038517977</v>
      </c>
      <c r="I42" s="6">
        <v>492802.62487567298</v>
      </c>
      <c r="J42" s="6">
        <v>524343.77136082295</v>
      </c>
      <c r="K42" s="6">
        <v>471907.48842224898</v>
      </c>
      <c r="L42" s="6">
        <v>1489053.8846587448</v>
      </c>
      <c r="M42" s="6">
        <v>3079470.6885105437</v>
      </c>
    </row>
    <row r="43" spans="1:13" x14ac:dyDescent="0.3">
      <c r="A43" t="s">
        <v>90</v>
      </c>
      <c r="B43" t="s">
        <v>25</v>
      </c>
      <c r="D43" t="s">
        <v>151</v>
      </c>
      <c r="E43" s="6">
        <v>384934.32112270489</v>
      </c>
      <c r="F43" s="6">
        <v>496888.00070691586</v>
      </c>
      <c r="G43" s="6">
        <v>692136.98317624396</v>
      </c>
      <c r="H43" s="6">
        <v>1573959.3050058647</v>
      </c>
      <c r="I43" s="6">
        <v>629389.18230949203</v>
      </c>
      <c r="J43" s="6">
        <v>579036.72301616799</v>
      </c>
      <c r="K43" s="6">
        <v>471001.97854523396</v>
      </c>
      <c r="L43" s="6">
        <v>1679427.8838708941</v>
      </c>
      <c r="M43" s="6">
        <v>3253387.1888767588</v>
      </c>
    </row>
    <row r="44" spans="1:13" x14ac:dyDescent="0.3">
      <c r="A44" t="s">
        <v>90</v>
      </c>
      <c r="B44" t="s">
        <v>25</v>
      </c>
      <c r="D44" t="s">
        <v>152</v>
      </c>
      <c r="E44" s="6">
        <v>425933.52437138202</v>
      </c>
      <c r="F44" s="6">
        <v>560769.66425746295</v>
      </c>
      <c r="G44" s="6">
        <v>761523.23417545902</v>
      </c>
      <c r="H44" s="6">
        <v>1748226.4228043039</v>
      </c>
      <c r="I44" s="6">
        <v>711719.41212343494</v>
      </c>
      <c r="J44" s="6">
        <v>638999.424249487</v>
      </c>
      <c r="K44" s="6">
        <v>514265.74070512003</v>
      </c>
      <c r="L44" s="6">
        <v>1864984.5770780421</v>
      </c>
      <c r="M44" s="6">
        <v>3613210.9998823456</v>
      </c>
    </row>
    <row r="46" spans="1:13" x14ac:dyDescent="0.3">
      <c r="A46" t="s">
        <v>90</v>
      </c>
      <c r="B46" t="s">
        <v>26</v>
      </c>
      <c r="D46" t="s">
        <v>150</v>
      </c>
      <c r="E46" s="6">
        <v>1830023.9135537201</v>
      </c>
      <c r="F46" s="6">
        <v>2405737.6774740801</v>
      </c>
      <c r="G46" s="6">
        <v>2768479.82802766</v>
      </c>
      <c r="H46" s="6">
        <v>7004241.41905546</v>
      </c>
      <c r="I46" s="6">
        <v>2084666.57778483</v>
      </c>
      <c r="J46" s="6">
        <v>2202174.6291354098</v>
      </c>
      <c r="K46" s="6">
        <v>1982751.8174181301</v>
      </c>
      <c r="L46" s="6">
        <v>6269593.0243383702</v>
      </c>
      <c r="M46" s="6">
        <v>13273834.44339383</v>
      </c>
    </row>
    <row r="47" spans="1:13" x14ac:dyDescent="0.3">
      <c r="A47" t="s">
        <v>90</v>
      </c>
      <c r="B47" t="s">
        <v>26</v>
      </c>
      <c r="D47" t="s">
        <v>151</v>
      </c>
      <c r="E47" s="6">
        <v>1470207.5748717899</v>
      </c>
      <c r="F47" s="6">
        <v>1932725.4307341301</v>
      </c>
      <c r="G47" s="6">
        <v>2446516.2337589501</v>
      </c>
      <c r="H47" s="6">
        <v>5849449.2393648699</v>
      </c>
      <c r="I47" s="6">
        <v>2307060.6568676499</v>
      </c>
      <c r="J47" s="6">
        <v>2092614.7626787601</v>
      </c>
      <c r="K47" s="6">
        <v>1618297.10310702</v>
      </c>
      <c r="L47" s="6">
        <v>6017972.5226534307</v>
      </c>
      <c r="M47" s="6">
        <v>11867421.762018301</v>
      </c>
    </row>
    <row r="48" spans="1:13" x14ac:dyDescent="0.3">
      <c r="A48" t="s">
        <v>90</v>
      </c>
      <c r="B48" t="s">
        <v>26</v>
      </c>
      <c r="D48" t="s">
        <v>152</v>
      </c>
      <c r="E48" s="6">
        <v>1666186.2385877799</v>
      </c>
      <c r="F48" s="6">
        <v>2162748.01641997</v>
      </c>
      <c r="G48" s="6">
        <v>2853089.8029714199</v>
      </c>
      <c r="H48" s="6">
        <v>6682024.0579791702</v>
      </c>
      <c r="I48" s="6">
        <v>2627283.7802903699</v>
      </c>
      <c r="J48" s="6">
        <v>2288427.6901496798</v>
      </c>
      <c r="K48" s="6">
        <v>1841723.0383379001</v>
      </c>
      <c r="L48" s="6">
        <v>6757434.50877795</v>
      </c>
      <c r="M48" s="6">
        <v>13439458.566757118</v>
      </c>
    </row>
    <row r="50" spans="1:13" x14ac:dyDescent="0.3">
      <c r="A50" t="s">
        <v>169</v>
      </c>
      <c r="E50" s="6">
        <v>5168388.6399160577</v>
      </c>
      <c r="F50" s="6">
        <v>6758980.4708719971</v>
      </c>
      <c r="G50" s="6">
        <v>7884645.0339313699</v>
      </c>
      <c r="H50" s="6">
        <v>19812014.144719429</v>
      </c>
      <c r="I50" s="6">
        <v>5919193.3124735868</v>
      </c>
      <c r="J50" s="6">
        <v>6297414.2929827273</v>
      </c>
      <c r="K50" s="6">
        <v>5653880.566444505</v>
      </c>
      <c r="L50" s="6">
        <v>17870488.17190082</v>
      </c>
      <c r="M50" s="6">
        <v>37682502.316620238</v>
      </c>
    </row>
    <row r="51" spans="1:13" x14ac:dyDescent="0.3">
      <c r="A51" t="s">
        <v>217</v>
      </c>
      <c r="E51" s="6">
        <v>4552828.9357856186</v>
      </c>
      <c r="F51" s="6">
        <v>5935552.6099750558</v>
      </c>
      <c r="G51" s="6">
        <v>7861225.775405637</v>
      </c>
      <c r="H51" s="6">
        <v>18349607.32116631</v>
      </c>
      <c r="I51" s="6">
        <v>7273113.4588477695</v>
      </c>
      <c r="J51" s="6">
        <v>6585840.782211232</v>
      </c>
      <c r="K51" s="6">
        <v>5187060.2915189788</v>
      </c>
      <c r="L51" s="6">
        <v>19046014.53257798</v>
      </c>
      <c r="M51" s="6">
        <v>37395621.853744291</v>
      </c>
    </row>
    <row r="52" spans="1:13" x14ac:dyDescent="0.3">
      <c r="A52" t="s">
        <v>170</v>
      </c>
      <c r="E52" s="6">
        <v>5021979.1927508023</v>
      </c>
      <c r="F52" s="6">
        <v>6548726.8423591033</v>
      </c>
      <c r="G52" s="6">
        <v>8721929.0934460089</v>
      </c>
      <c r="H52" s="6">
        <v>20292635.128555916</v>
      </c>
      <c r="I52" s="6">
        <v>8071502.0166173149</v>
      </c>
      <c r="J52" s="6">
        <v>7176382.4926219368</v>
      </c>
      <c r="K52" s="6">
        <v>5687104.7382246004</v>
      </c>
      <c r="L52" s="6">
        <v>20934989.247463852</v>
      </c>
      <c r="M52" s="6">
        <v>41227624.376019768</v>
      </c>
    </row>
    <row r="54" spans="1:13" x14ac:dyDescent="0.3">
      <c r="A54" t="s">
        <v>93</v>
      </c>
      <c r="B54" t="s">
        <v>159</v>
      </c>
      <c r="D54" t="s">
        <v>150</v>
      </c>
      <c r="E54" s="6">
        <v>1921300.4405821292</v>
      </c>
      <c r="F54" s="6">
        <v>2622726.6242511263</v>
      </c>
      <c r="G54" s="6">
        <v>3556920.1827506358</v>
      </c>
      <c r="H54" s="6">
        <v>8100947.2475838913</v>
      </c>
      <c r="I54" s="6">
        <v>2786339.8818982514</v>
      </c>
      <c r="J54" s="6">
        <v>3015256.9139299039</v>
      </c>
      <c r="K54" s="6">
        <v>2639969.6198145971</v>
      </c>
      <c r="L54" s="6">
        <v>8441566.4156427532</v>
      </c>
      <c r="M54" s="6">
        <v>16542513.663226644</v>
      </c>
    </row>
    <row r="55" spans="1:13" x14ac:dyDescent="0.3">
      <c r="A55" t="s">
        <v>93</v>
      </c>
      <c r="B55" t="s">
        <v>159</v>
      </c>
      <c r="D55" t="s">
        <v>151</v>
      </c>
      <c r="E55" s="6">
        <v>2350783.0070319464</v>
      </c>
      <c r="F55" s="6">
        <v>3209154.3958599726</v>
      </c>
      <c r="G55" s="6">
        <v>4580383.2658436233</v>
      </c>
      <c r="H55" s="6">
        <v>10140320.668735541</v>
      </c>
      <c r="I55" s="6">
        <v>4451142.2131787678</v>
      </c>
      <c r="J55" s="6">
        <v>3959340.6962441364</v>
      </c>
      <c r="K55" s="6">
        <v>3207221.3323162086</v>
      </c>
      <c r="L55" s="6">
        <v>11617704.241739113</v>
      </c>
      <c r="M55" s="6">
        <v>21758024.910474654</v>
      </c>
    </row>
    <row r="56" spans="1:13" x14ac:dyDescent="0.3">
      <c r="A56" t="s">
        <v>93</v>
      </c>
      <c r="B56" t="s">
        <v>159</v>
      </c>
      <c r="D56" t="s">
        <v>152</v>
      </c>
      <c r="E56" s="6">
        <v>2526894.9902689755</v>
      </c>
      <c r="F56" s="6">
        <v>3430742.9803906605</v>
      </c>
      <c r="G56" s="6">
        <v>4794137.0314681903</v>
      </c>
      <c r="H56" s="6">
        <v>10751775.002127826</v>
      </c>
      <c r="I56" s="6">
        <v>4581593.6978747789</v>
      </c>
      <c r="J56" s="6">
        <v>4165929.8705735644</v>
      </c>
      <c r="K56" s="6">
        <v>3437523.2649708996</v>
      </c>
      <c r="L56" s="6">
        <v>12185046.833419241</v>
      </c>
      <c r="M56" s="6">
        <v>22936821.835547067</v>
      </c>
    </row>
    <row r="58" spans="1:13" x14ac:dyDescent="0.3">
      <c r="A58" t="s">
        <v>171</v>
      </c>
      <c r="E58" s="6">
        <v>1921300.4405821292</v>
      </c>
      <c r="F58" s="6">
        <v>2622726.6242511263</v>
      </c>
      <c r="G58" s="6">
        <v>3556920.1827506358</v>
      </c>
      <c r="H58" s="6">
        <v>8100947.2475838913</v>
      </c>
      <c r="I58" s="6">
        <v>2786339.8818982514</v>
      </c>
      <c r="J58" s="6">
        <v>3015256.9139299039</v>
      </c>
      <c r="K58" s="6">
        <v>2639969.6198145971</v>
      </c>
      <c r="L58" s="6">
        <v>8441566.4156427532</v>
      </c>
      <c r="M58" s="6">
        <v>16542513.663226644</v>
      </c>
    </row>
    <row r="59" spans="1:13" x14ac:dyDescent="0.3">
      <c r="A59" t="s">
        <v>218</v>
      </c>
      <c r="E59" s="6">
        <v>2350783.0070319464</v>
      </c>
      <c r="F59" s="6">
        <v>3209154.3958599726</v>
      </c>
      <c r="G59" s="6">
        <v>4580383.2658436233</v>
      </c>
      <c r="H59" s="6">
        <v>10140320.668735541</v>
      </c>
      <c r="I59" s="6">
        <v>4451142.2131787678</v>
      </c>
      <c r="J59" s="6">
        <v>3959340.6962441364</v>
      </c>
      <c r="K59" s="6">
        <v>3207221.3323162086</v>
      </c>
      <c r="L59" s="6">
        <v>11617704.241739113</v>
      </c>
      <c r="M59" s="6">
        <v>21758024.910474654</v>
      </c>
    </row>
    <row r="60" spans="1:13" x14ac:dyDescent="0.3">
      <c r="A60" t="s">
        <v>172</v>
      </c>
      <c r="E60" s="6">
        <v>2526894.9902689755</v>
      </c>
      <c r="F60" s="6">
        <v>3430742.9803906605</v>
      </c>
      <c r="G60" s="6">
        <v>4794137.0314681903</v>
      </c>
      <c r="H60" s="6">
        <v>10751775.002127826</v>
      </c>
      <c r="I60" s="6">
        <v>4581593.6978747789</v>
      </c>
      <c r="J60" s="6">
        <v>4165929.8705735644</v>
      </c>
      <c r="K60" s="6">
        <v>3437523.2649708996</v>
      </c>
      <c r="L60" s="6">
        <v>12185046.833419241</v>
      </c>
      <c r="M60" s="6">
        <v>22936821.835547067</v>
      </c>
    </row>
    <row r="62" spans="1:13" x14ac:dyDescent="0.3">
      <c r="A62" t="s">
        <v>91</v>
      </c>
      <c r="B62" t="s">
        <v>22</v>
      </c>
      <c r="D62" t="s">
        <v>150</v>
      </c>
      <c r="E62" s="6">
        <v>17680.632651</v>
      </c>
      <c r="F62" s="6">
        <v>10325.981853000001</v>
      </c>
      <c r="G62" s="6">
        <v>9534.6131759999989</v>
      </c>
      <c r="H62" s="6">
        <v>37541.227679999996</v>
      </c>
      <c r="I62" s="6">
        <v>14689.272708</v>
      </c>
      <c r="J62" s="6">
        <v>14917.041413999999</v>
      </c>
      <c r="K62" s="6">
        <v>24189.206679000003</v>
      </c>
      <c r="L62" s="6">
        <v>53795.520801000006</v>
      </c>
      <c r="M62" s="6">
        <v>91336.748480999988</v>
      </c>
    </row>
    <row r="63" spans="1:13" x14ac:dyDescent="0.3">
      <c r="A63" t="s">
        <v>91</v>
      </c>
      <c r="B63" t="s">
        <v>22</v>
      </c>
      <c r="D63" t="s">
        <v>151</v>
      </c>
      <c r="E63" s="6">
        <v>17658.308619875002</v>
      </c>
      <c r="F63" s="6">
        <v>12474.306497125001</v>
      </c>
      <c r="G63" s="6">
        <v>27809.4058</v>
      </c>
      <c r="H63" s="6">
        <v>57942.020917000002</v>
      </c>
      <c r="I63" s="6">
        <v>24312.893</v>
      </c>
      <c r="J63" s="6">
        <v>16361.728899999998</v>
      </c>
      <c r="K63" s="6">
        <v>19434.378700000001</v>
      </c>
      <c r="L63" s="6">
        <v>60109.000599999999</v>
      </c>
      <c r="M63" s="6">
        <v>118051.021517</v>
      </c>
    </row>
    <row r="64" spans="1:13" x14ac:dyDescent="0.3">
      <c r="A64" t="s">
        <v>91</v>
      </c>
      <c r="B64" t="s">
        <v>22</v>
      </c>
      <c r="D64" t="s">
        <v>152</v>
      </c>
      <c r="E64" s="6">
        <v>17658.308619874999</v>
      </c>
      <c r="F64" s="6">
        <v>12474.306497125001</v>
      </c>
      <c r="G64" s="6">
        <v>15709.4058</v>
      </c>
      <c r="H64" s="6">
        <v>45842.020917000002</v>
      </c>
      <c r="I64" s="6">
        <v>14632.893</v>
      </c>
      <c r="J64" s="6">
        <v>16361.7289</v>
      </c>
      <c r="K64" s="6">
        <v>20406.097634999998</v>
      </c>
      <c r="L64" s="6">
        <v>51400.719534999997</v>
      </c>
      <c r="M64" s="6">
        <v>97242.740451999998</v>
      </c>
    </row>
    <row r="66" spans="1:13" x14ac:dyDescent="0.3">
      <c r="A66" t="s">
        <v>91</v>
      </c>
      <c r="B66" t="s">
        <v>20</v>
      </c>
      <c r="D66" t="s">
        <v>150</v>
      </c>
      <c r="E66" s="6">
        <v>98886.920516999991</v>
      </c>
      <c r="F66" s="6">
        <v>42314.332104000001</v>
      </c>
      <c r="G66" s="6">
        <v>75793.241303999996</v>
      </c>
      <c r="H66" s="6">
        <v>216994.49392499999</v>
      </c>
      <c r="I66" s="6">
        <v>36622.234736999999</v>
      </c>
      <c r="J66" s="6">
        <v>34524.975375000002</v>
      </c>
      <c r="K66" s="6">
        <v>35273.147777999999</v>
      </c>
      <c r="L66" s="6">
        <v>106420.35789000001</v>
      </c>
      <c r="M66" s="6">
        <v>323414.851815</v>
      </c>
    </row>
    <row r="67" spans="1:13" x14ac:dyDescent="0.3">
      <c r="A67" t="s">
        <v>91</v>
      </c>
      <c r="B67" t="s">
        <v>20</v>
      </c>
      <c r="D67" t="s">
        <v>151</v>
      </c>
      <c r="E67" s="6">
        <v>98762.063294125008</v>
      </c>
      <c r="F67" s="6">
        <v>42260.904917</v>
      </c>
      <c r="G67" s="6">
        <v>64307.628000000004</v>
      </c>
      <c r="H67" s="6">
        <v>205330.596211125</v>
      </c>
      <c r="I67" s="6">
        <v>24900.348000000002</v>
      </c>
      <c r="J67" s="6">
        <v>26122.569</v>
      </c>
      <c r="K67" s="6">
        <v>60341.550499999998</v>
      </c>
      <c r="L67" s="6">
        <v>111364.4675</v>
      </c>
      <c r="M67" s="6">
        <v>316695.063711125</v>
      </c>
    </row>
    <row r="68" spans="1:13" x14ac:dyDescent="0.3">
      <c r="A68" t="s">
        <v>91</v>
      </c>
      <c r="B68" t="s">
        <v>20</v>
      </c>
      <c r="D68" t="s">
        <v>152</v>
      </c>
      <c r="E68" s="6">
        <v>103700.16645883099</v>
      </c>
      <c r="F68" s="6">
        <v>44373.95016285</v>
      </c>
      <c r="G68" s="6">
        <v>67523.009399999995</v>
      </c>
      <c r="H68" s="6">
        <v>215597.126021681</v>
      </c>
      <c r="I68" s="6">
        <v>26145.365399999999</v>
      </c>
      <c r="J68" s="6">
        <v>27428.69745</v>
      </c>
      <c r="K68" s="6">
        <v>63358.628024999998</v>
      </c>
      <c r="L68" s="6">
        <v>116932.690875</v>
      </c>
      <c r="M68" s="6">
        <v>332529.81689668098</v>
      </c>
    </row>
    <row r="70" spans="1:13" x14ac:dyDescent="0.3">
      <c r="A70" t="s">
        <v>91</v>
      </c>
      <c r="B70" t="s">
        <v>18</v>
      </c>
      <c r="D70" t="s">
        <v>150</v>
      </c>
      <c r="E70" s="6">
        <v>1573719.7579048343</v>
      </c>
      <c r="F70" s="6">
        <v>1593334.0395908612</v>
      </c>
      <c r="G70" s="6">
        <v>1595185.6854267919</v>
      </c>
      <c r="H70" s="6">
        <v>4762239.4829224879</v>
      </c>
      <c r="I70" s="6">
        <v>1591764.2856023102</v>
      </c>
      <c r="J70" s="6">
        <v>1581072.5929686169</v>
      </c>
      <c r="K70" s="6">
        <v>1592239.5109132738</v>
      </c>
      <c r="L70" s="6">
        <v>4765076.3894842016</v>
      </c>
      <c r="M70" s="6">
        <v>9527315.8724066876</v>
      </c>
    </row>
    <row r="71" spans="1:13" x14ac:dyDescent="0.3">
      <c r="A71" t="s">
        <v>91</v>
      </c>
      <c r="B71" t="s">
        <v>18</v>
      </c>
      <c r="D71" t="s">
        <v>151</v>
      </c>
      <c r="E71" s="6">
        <v>1555136.0787005594</v>
      </c>
      <c r="F71" s="6">
        <v>1562598.569672409</v>
      </c>
      <c r="G71" s="6">
        <v>1567811.9875059719</v>
      </c>
      <c r="H71" s="6">
        <v>4685546.635878941</v>
      </c>
      <c r="I71" s="6">
        <v>1544263.1500471374</v>
      </c>
      <c r="J71" s="6">
        <v>1539991.1486449153</v>
      </c>
      <c r="K71" s="6">
        <v>1548088.7760518081</v>
      </c>
      <c r="L71" s="6">
        <v>4632343.0747438613</v>
      </c>
      <c r="M71" s="6">
        <v>9317889.7106228024</v>
      </c>
    </row>
    <row r="72" spans="1:13" x14ac:dyDescent="0.3">
      <c r="A72" t="s">
        <v>91</v>
      </c>
      <c r="B72" t="s">
        <v>18</v>
      </c>
      <c r="D72" t="s">
        <v>152</v>
      </c>
      <c r="E72" s="6">
        <v>1539741.89831293</v>
      </c>
      <c r="F72" s="6">
        <v>1539741.89831293</v>
      </c>
      <c r="G72" s="6">
        <v>1539741.89831293</v>
      </c>
      <c r="H72" s="6">
        <v>4619225.6949387901</v>
      </c>
      <c r="I72" s="6">
        <v>1539741.89831293</v>
      </c>
      <c r="J72" s="6">
        <v>1539741.89831293</v>
      </c>
      <c r="K72" s="6">
        <v>1539741.89831293</v>
      </c>
      <c r="L72" s="6">
        <v>4619225.6949387901</v>
      </c>
      <c r="M72" s="6">
        <v>9238451.3898775801</v>
      </c>
    </row>
    <row r="74" spans="1:13" x14ac:dyDescent="0.3">
      <c r="A74" t="s">
        <v>91</v>
      </c>
      <c r="B74" t="s">
        <v>17</v>
      </c>
      <c r="D74" t="s">
        <v>150</v>
      </c>
      <c r="E74" s="6">
        <v>573154.50525299995</v>
      </c>
      <c r="F74" s="6">
        <v>605023.02103809384</v>
      </c>
      <c r="G74" s="6">
        <v>684557.03908144659</v>
      </c>
      <c r="H74" s="6">
        <v>1862734.5653725408</v>
      </c>
      <c r="I74" s="6">
        <v>651867.46725663904</v>
      </c>
      <c r="J74" s="6">
        <v>566308.49974276952</v>
      </c>
      <c r="K74" s="6">
        <v>555936.71840190003</v>
      </c>
      <c r="L74" s="6">
        <v>1774112.6854013086</v>
      </c>
      <c r="M74" s="6">
        <v>3636847.250773848</v>
      </c>
    </row>
    <row r="75" spans="1:13" x14ac:dyDescent="0.3">
      <c r="A75" t="s">
        <v>91</v>
      </c>
      <c r="B75" t="s">
        <v>17</v>
      </c>
      <c r="D75" t="s">
        <v>151</v>
      </c>
      <c r="E75" s="6">
        <v>555504.43782212504</v>
      </c>
      <c r="F75" s="6">
        <v>611920.60978982865</v>
      </c>
      <c r="G75" s="6">
        <v>712614.06686968356</v>
      </c>
      <c r="H75" s="6">
        <v>1880039.1144816373</v>
      </c>
      <c r="I75" s="6">
        <v>746636.60592336883</v>
      </c>
      <c r="J75" s="6">
        <v>671683.76005499996</v>
      </c>
      <c r="K75" s="6">
        <v>634858.81909999996</v>
      </c>
      <c r="L75" s="6">
        <v>2053179.1850783688</v>
      </c>
      <c r="M75" s="6">
        <v>3933218.2995600058</v>
      </c>
    </row>
    <row r="76" spans="1:13" x14ac:dyDescent="0.3">
      <c r="A76" t="s">
        <v>91</v>
      </c>
      <c r="B76" t="s">
        <v>17</v>
      </c>
      <c r="D76" t="s">
        <v>152</v>
      </c>
      <c r="E76" s="6">
        <v>594389.74846967403</v>
      </c>
      <c r="F76" s="6">
        <v>654755.05247511703</v>
      </c>
      <c r="G76" s="6">
        <v>762497.05155056203</v>
      </c>
      <c r="H76" s="6">
        <v>2011641.8524953532</v>
      </c>
      <c r="I76" s="6">
        <v>798901.16833800403</v>
      </c>
      <c r="J76" s="6">
        <v>718701.62325884996</v>
      </c>
      <c r="K76" s="6">
        <v>679298.93643700005</v>
      </c>
      <c r="L76" s="6">
        <v>2196901.7280338542</v>
      </c>
      <c r="M76" s="6">
        <v>4208543.5805292074</v>
      </c>
    </row>
    <row r="78" spans="1:13" x14ac:dyDescent="0.3">
      <c r="A78" t="s">
        <v>91</v>
      </c>
      <c r="B78" t="s">
        <v>19</v>
      </c>
      <c r="D78" t="s">
        <v>150</v>
      </c>
      <c r="E78" s="6">
        <v>96777.789965999997</v>
      </c>
      <c r="F78" s="6">
        <v>96777.789965999997</v>
      </c>
      <c r="G78" s="6">
        <v>96777.789965999997</v>
      </c>
      <c r="H78" s="6">
        <v>290333.36989799998</v>
      </c>
      <c r="I78" s="6">
        <v>96777.789965999997</v>
      </c>
      <c r="J78" s="6">
        <v>96777.789965999997</v>
      </c>
      <c r="K78" s="6">
        <v>96777.789965999997</v>
      </c>
      <c r="L78" s="6">
        <v>290333.36989799998</v>
      </c>
      <c r="M78" s="6">
        <v>580666.73979599995</v>
      </c>
    </row>
    <row r="79" spans="1:13" x14ac:dyDescent="0.3">
      <c r="A79" t="s">
        <v>91</v>
      </c>
      <c r="B79" t="s">
        <v>19</v>
      </c>
      <c r="D79" t="s">
        <v>151</v>
      </c>
      <c r="E79" s="6">
        <v>97865.595786749996</v>
      </c>
      <c r="F79" s="6">
        <v>97865.595786749996</v>
      </c>
      <c r="G79" s="6">
        <v>97605.446573249996</v>
      </c>
      <c r="H79" s="6">
        <v>293336.63814674999</v>
      </c>
      <c r="I79" s="6">
        <v>97605.446573249996</v>
      </c>
      <c r="J79" s="6">
        <v>97605.446573249996</v>
      </c>
      <c r="K79" s="6">
        <v>97610.712100000004</v>
      </c>
      <c r="L79" s="6">
        <v>292821.6052465</v>
      </c>
      <c r="M79" s="6">
        <v>586158.24339325004</v>
      </c>
    </row>
    <row r="80" spans="1:13" x14ac:dyDescent="0.3">
      <c r="A80" t="s">
        <v>91</v>
      </c>
      <c r="B80" t="s">
        <v>19</v>
      </c>
      <c r="D80" t="s">
        <v>152</v>
      </c>
      <c r="E80" s="6">
        <v>98844.251744617504</v>
      </c>
      <c r="F80" s="6">
        <v>98844.251744617504</v>
      </c>
      <c r="G80" s="6">
        <v>98581.501038982504</v>
      </c>
      <c r="H80" s="6">
        <v>296270.00452821748</v>
      </c>
      <c r="I80" s="6">
        <v>98581.501038982504</v>
      </c>
      <c r="J80" s="6">
        <v>98581.501038982504</v>
      </c>
      <c r="K80" s="6">
        <v>98586.819220999998</v>
      </c>
      <c r="L80" s="6">
        <v>295749.82129896502</v>
      </c>
      <c r="M80" s="6">
        <v>592019.8258271825</v>
      </c>
    </row>
    <row r="82" spans="1:13" x14ac:dyDescent="0.3">
      <c r="A82" t="s">
        <v>91</v>
      </c>
      <c r="B82" t="s">
        <v>21</v>
      </c>
      <c r="D82" t="s">
        <v>150</v>
      </c>
      <c r="E82" s="6">
        <v>12843.859842</v>
      </c>
      <c r="F82" s="6">
        <v>9002.1466259999997</v>
      </c>
      <c r="G82" s="6">
        <v>674.07030899999995</v>
      </c>
      <c r="H82" s="6">
        <v>22520.076776999998</v>
      </c>
      <c r="I82" s="6">
        <v>782.94744000000003</v>
      </c>
      <c r="J82" s="6">
        <v>1103.4935009999999</v>
      </c>
      <c r="K82" s="6">
        <v>4852.5611310000004</v>
      </c>
      <c r="L82" s="6">
        <v>6739.0020720000002</v>
      </c>
      <c r="M82" s="6">
        <v>29259.078848999998</v>
      </c>
    </row>
    <row r="83" spans="1:13" x14ac:dyDescent="0.3">
      <c r="A83" t="s">
        <v>91</v>
      </c>
      <c r="B83" t="s">
        <v>21</v>
      </c>
      <c r="D83" t="s">
        <v>151</v>
      </c>
      <c r="E83" s="6">
        <v>12827.642847249999</v>
      </c>
      <c r="F83" s="6">
        <v>8990.7802792500006</v>
      </c>
      <c r="G83" s="6">
        <v>0</v>
      </c>
      <c r="H83" s="6">
        <v>21818.423126499998</v>
      </c>
      <c r="I83" s="6">
        <v>3847.8</v>
      </c>
      <c r="J83" s="6">
        <v>7295.2231000000002</v>
      </c>
      <c r="K83" s="6">
        <v>7630.3810000000003</v>
      </c>
      <c r="L83" s="6">
        <v>18773.4041</v>
      </c>
      <c r="M83" s="6">
        <v>40591.827226499998</v>
      </c>
    </row>
    <row r="84" spans="1:13" x14ac:dyDescent="0.3">
      <c r="A84" t="s">
        <v>91</v>
      </c>
      <c r="B84" t="s">
        <v>21</v>
      </c>
      <c r="D84" t="s">
        <v>152</v>
      </c>
      <c r="E84" s="6">
        <v>14849.600051047801</v>
      </c>
      <c r="F84" s="6">
        <v>10407.952020766799</v>
      </c>
      <c r="G84" s="6">
        <v>0</v>
      </c>
      <c r="H84" s="6">
        <v>25257.5520718146</v>
      </c>
      <c r="I84" s="6">
        <v>4454.309475</v>
      </c>
      <c r="J84" s="6">
        <v>8445.1326411374994</v>
      </c>
      <c r="K84" s="6">
        <v>8833.1198051249994</v>
      </c>
      <c r="L84" s="6">
        <v>21732.561921262499</v>
      </c>
      <c r="M84" s="6">
        <v>46990.113993077102</v>
      </c>
    </row>
    <row r="86" spans="1:13" x14ac:dyDescent="0.3">
      <c r="A86" t="s">
        <v>173</v>
      </c>
      <c r="E86" s="6">
        <v>2373063.4661338348</v>
      </c>
      <c r="F86" s="6">
        <v>2356777.3111779555</v>
      </c>
      <c r="G86" s="6">
        <v>2462522.4392632381</v>
      </c>
      <c r="H86" s="6">
        <v>7192363.2165750265</v>
      </c>
      <c r="I86" s="6">
        <v>2392503.997709949</v>
      </c>
      <c r="J86" s="6">
        <v>2294704.3929673866</v>
      </c>
      <c r="K86" s="6">
        <v>2309268.9348691739</v>
      </c>
      <c r="L86" s="6">
        <v>6996477.3255465096</v>
      </c>
      <c r="M86" s="6">
        <v>14188840.542121544</v>
      </c>
    </row>
    <row r="87" spans="1:13" x14ac:dyDescent="0.3">
      <c r="A87" t="s">
        <v>219</v>
      </c>
      <c r="E87" s="6">
        <v>2337754.127070684</v>
      </c>
      <c r="F87" s="6">
        <v>2336110.7669423628</v>
      </c>
      <c r="G87" s="6">
        <v>2470148.5347489053</v>
      </c>
      <c r="H87" s="6">
        <v>7144013.4287619526</v>
      </c>
      <c r="I87" s="6">
        <v>2441566.2435437562</v>
      </c>
      <c r="J87" s="6">
        <v>2359059.8762731655</v>
      </c>
      <c r="K87" s="6">
        <v>2367964.6174518089</v>
      </c>
      <c r="L87" s="6">
        <v>7168590.737268731</v>
      </c>
      <c r="M87" s="6">
        <v>14312604.166030683</v>
      </c>
    </row>
    <row r="88" spans="1:13" x14ac:dyDescent="0.3">
      <c r="A88" t="s">
        <v>174</v>
      </c>
      <c r="E88" s="6">
        <v>2369183.9736569757</v>
      </c>
      <c r="F88" s="6">
        <v>2360597.4112134064</v>
      </c>
      <c r="G88" s="6">
        <v>2484052.8661024743</v>
      </c>
      <c r="H88" s="6">
        <v>7213834.2509728586</v>
      </c>
      <c r="I88" s="6">
        <v>2482457.1355649168</v>
      </c>
      <c r="J88" s="6">
        <v>2409260.5816019</v>
      </c>
      <c r="K88" s="6">
        <v>2410225.4994360553</v>
      </c>
      <c r="L88" s="6">
        <v>7301943.2166028712</v>
      </c>
      <c r="M88" s="6">
        <v>14515777.46757572</v>
      </c>
    </row>
    <row r="90" spans="1:13" x14ac:dyDescent="0.3">
      <c r="A90" t="s">
        <v>92</v>
      </c>
      <c r="B90" t="s">
        <v>159</v>
      </c>
      <c r="D90" t="s">
        <v>150</v>
      </c>
      <c r="E90" s="6">
        <v>-451763.02555170562</v>
      </c>
      <c r="F90" s="6">
        <v>265949.31307317084</v>
      </c>
      <c r="G90" s="6">
        <v>1094397.7434873977</v>
      </c>
      <c r="H90" s="6">
        <v>908584.03100886289</v>
      </c>
      <c r="I90" s="6">
        <v>393835.88418830233</v>
      </c>
      <c r="J90" s="6">
        <v>720552.52096251724</v>
      </c>
      <c r="K90" s="6">
        <v>330700.68494542316</v>
      </c>
      <c r="L90" s="6">
        <v>1445089.0900962427</v>
      </c>
      <c r="M90" s="6">
        <v>2353673.1211051056</v>
      </c>
    </row>
    <row r="91" spans="1:13" x14ac:dyDescent="0.3">
      <c r="A91" t="s">
        <v>92</v>
      </c>
      <c r="B91" t="s">
        <v>159</v>
      </c>
      <c r="D91" t="s">
        <v>151</v>
      </c>
      <c r="E91" s="6">
        <v>13028.879961262457</v>
      </c>
      <c r="F91" s="6">
        <v>873043.62891760981</v>
      </c>
      <c r="G91" s="6">
        <v>2110234.731094718</v>
      </c>
      <c r="H91" s="6">
        <v>2996307.2399735902</v>
      </c>
      <c r="I91" s="6">
        <v>2009575.9696350116</v>
      </c>
      <c r="J91" s="6">
        <v>1600280.819970971</v>
      </c>
      <c r="K91" s="6">
        <v>839256.71486439975</v>
      </c>
      <c r="L91" s="6">
        <v>4449113.5044703819</v>
      </c>
      <c r="M91" s="6">
        <v>7445420.7444439717</v>
      </c>
    </row>
    <row r="92" spans="1:13" x14ac:dyDescent="0.3">
      <c r="A92" t="s">
        <v>92</v>
      </c>
      <c r="B92" t="s">
        <v>159</v>
      </c>
      <c r="D92" t="s">
        <v>152</v>
      </c>
      <c r="E92" s="6">
        <v>157711.01661199983</v>
      </c>
      <c r="F92" s="6">
        <v>1070145.5691772541</v>
      </c>
      <c r="G92" s="6">
        <v>2310084.165365716</v>
      </c>
      <c r="H92" s="6">
        <v>3537940.7511549699</v>
      </c>
      <c r="I92" s="6">
        <v>2099136.5623098621</v>
      </c>
      <c r="J92" s="6">
        <v>1756669.2889716644</v>
      </c>
      <c r="K92" s="6">
        <v>1027297.7655348442</v>
      </c>
      <c r="L92" s="6">
        <v>4883103.6168163707</v>
      </c>
      <c r="M92" s="6">
        <v>8421044.3679713402</v>
      </c>
    </row>
    <row r="94" spans="1:13" x14ac:dyDescent="0.3">
      <c r="A94" t="s">
        <v>175</v>
      </c>
      <c r="E94" s="6">
        <v>-451763.02555170562</v>
      </c>
      <c r="F94" s="6">
        <v>265949.31307317084</v>
      </c>
      <c r="G94" s="6">
        <v>1094397.7434873977</v>
      </c>
      <c r="H94" s="6">
        <v>908584.03100886289</v>
      </c>
      <c r="I94" s="6">
        <v>393835.88418830233</v>
      </c>
      <c r="J94" s="6">
        <v>720552.52096251724</v>
      </c>
      <c r="K94" s="6">
        <v>330700.68494542316</v>
      </c>
      <c r="L94" s="6">
        <v>1445089.0900962427</v>
      </c>
      <c r="M94" s="6">
        <v>2353673.1211051056</v>
      </c>
    </row>
    <row r="95" spans="1:13" x14ac:dyDescent="0.3">
      <c r="A95" t="s">
        <v>188</v>
      </c>
      <c r="E95" s="6">
        <v>13028.879961262457</v>
      </c>
      <c r="F95" s="6">
        <v>873043.62891760981</v>
      </c>
      <c r="G95" s="6">
        <v>2110234.731094718</v>
      </c>
      <c r="H95" s="6">
        <v>2996307.2399735902</v>
      </c>
      <c r="I95" s="6">
        <v>2009575.9696350116</v>
      </c>
      <c r="J95" s="6">
        <v>1600280.819970971</v>
      </c>
      <c r="K95" s="6">
        <v>839256.71486439975</v>
      </c>
      <c r="L95" s="6">
        <v>4449113.5044703819</v>
      </c>
      <c r="M95" s="6">
        <v>7445420.7444439717</v>
      </c>
    </row>
    <row r="96" spans="1:13" x14ac:dyDescent="0.3">
      <c r="A96" t="s">
        <v>176</v>
      </c>
      <c r="E96" s="6">
        <v>157711.01661199983</v>
      </c>
      <c r="F96" s="6">
        <v>1070145.5691772541</v>
      </c>
      <c r="G96" s="6">
        <v>2310084.165365716</v>
      </c>
      <c r="H96" s="6">
        <v>3537940.7511549699</v>
      </c>
      <c r="I96" s="6">
        <v>2099136.5623098621</v>
      </c>
      <c r="J96" s="6">
        <v>1756669.2889716644</v>
      </c>
      <c r="K96" s="6">
        <v>1027297.7655348442</v>
      </c>
      <c r="L96" s="6">
        <v>4883103.6168163707</v>
      </c>
      <c r="M96" s="6">
        <v>8421044.3679713402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0066-33B2-440A-BD84-9B2A6B422F4A}">
  <sheetPr>
    <tabColor rgb="FF7030A0"/>
  </sheetPr>
  <dimension ref="A1:I732"/>
  <sheetViews>
    <sheetView workbookViewId="0">
      <selection activeCell="J22" sqref="J22:J32"/>
    </sheetView>
  </sheetViews>
  <sheetFormatPr defaultRowHeight="14.4" x14ac:dyDescent="0.3"/>
  <cols>
    <col min="1" max="1" width="10.109375" bestFit="1" customWidth="1"/>
    <col min="2" max="2" width="6.88671875" bestFit="1" customWidth="1"/>
    <col min="3" max="3" width="16.44140625" bestFit="1" customWidth="1"/>
    <col min="4" max="4" width="9.77734375" bestFit="1" customWidth="1"/>
    <col min="5" max="5" width="13.33203125" bestFit="1" customWidth="1"/>
    <col min="6" max="6" width="9.6640625" bestFit="1" customWidth="1"/>
    <col min="7" max="7" width="6.44140625" bestFit="1" customWidth="1"/>
    <col min="8" max="8" width="13.77734375" bestFit="1" customWidth="1"/>
    <col min="9" max="9" width="18.21875" bestFit="1" customWidth="1"/>
  </cols>
  <sheetData>
    <row r="1" spans="1:9" x14ac:dyDescent="0.3">
      <c r="A1" t="s">
        <v>96</v>
      </c>
      <c r="B1" t="s">
        <v>1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</row>
    <row r="2" spans="1:9" x14ac:dyDescent="0.3">
      <c r="A2" s="13">
        <v>45292</v>
      </c>
      <c r="B2">
        <v>2024</v>
      </c>
      <c r="C2">
        <v>1</v>
      </c>
      <c r="D2" t="s">
        <v>13</v>
      </c>
      <c r="E2" t="s">
        <v>73</v>
      </c>
      <c r="F2" t="s">
        <v>104</v>
      </c>
      <c r="G2">
        <v>1</v>
      </c>
      <c r="H2" t="s">
        <v>105</v>
      </c>
      <c r="I2" s="13">
        <v>45322</v>
      </c>
    </row>
    <row r="3" spans="1:9" x14ac:dyDescent="0.3">
      <c r="A3" s="13">
        <v>45293</v>
      </c>
      <c r="B3">
        <v>2024</v>
      </c>
      <c r="C3">
        <v>1</v>
      </c>
      <c r="D3" t="s">
        <v>13</v>
      </c>
      <c r="E3" t="s">
        <v>73</v>
      </c>
      <c r="F3" t="s">
        <v>104</v>
      </c>
      <c r="G3">
        <v>2</v>
      </c>
      <c r="H3" t="s">
        <v>105</v>
      </c>
      <c r="I3" s="13">
        <v>45322</v>
      </c>
    </row>
    <row r="4" spans="1:9" x14ac:dyDescent="0.3">
      <c r="A4" s="13">
        <v>45294</v>
      </c>
      <c r="B4">
        <v>2024</v>
      </c>
      <c r="C4">
        <v>1</v>
      </c>
      <c r="D4" t="s">
        <v>13</v>
      </c>
      <c r="E4" t="s">
        <v>73</v>
      </c>
      <c r="F4" t="s">
        <v>104</v>
      </c>
      <c r="G4">
        <v>3</v>
      </c>
      <c r="H4" t="s">
        <v>105</v>
      </c>
      <c r="I4" s="13">
        <v>45322</v>
      </c>
    </row>
    <row r="5" spans="1:9" x14ac:dyDescent="0.3">
      <c r="A5" s="13">
        <v>45295</v>
      </c>
      <c r="B5">
        <v>2024</v>
      </c>
      <c r="C5">
        <v>1</v>
      </c>
      <c r="D5" t="s">
        <v>13</v>
      </c>
      <c r="E5" t="s">
        <v>73</v>
      </c>
      <c r="F5" t="s">
        <v>104</v>
      </c>
      <c r="G5">
        <v>4</v>
      </c>
      <c r="H5" t="s">
        <v>105</v>
      </c>
      <c r="I5" s="13">
        <v>45322</v>
      </c>
    </row>
    <row r="6" spans="1:9" x14ac:dyDescent="0.3">
      <c r="A6" s="13">
        <v>45296</v>
      </c>
      <c r="B6">
        <v>2024</v>
      </c>
      <c r="C6">
        <v>1</v>
      </c>
      <c r="D6" t="s">
        <v>13</v>
      </c>
      <c r="E6" t="s">
        <v>73</v>
      </c>
      <c r="F6" t="s">
        <v>104</v>
      </c>
      <c r="G6">
        <v>5</v>
      </c>
      <c r="H6" t="s">
        <v>105</v>
      </c>
      <c r="I6" s="13">
        <v>45322</v>
      </c>
    </row>
    <row r="7" spans="1:9" x14ac:dyDescent="0.3">
      <c r="A7" s="13">
        <v>45297</v>
      </c>
      <c r="B7">
        <v>2024</v>
      </c>
      <c r="C7">
        <v>1</v>
      </c>
      <c r="D7" t="s">
        <v>13</v>
      </c>
      <c r="E7" t="s">
        <v>73</v>
      </c>
      <c r="F7" t="s">
        <v>104</v>
      </c>
      <c r="G7">
        <v>6</v>
      </c>
      <c r="H7" t="s">
        <v>105</v>
      </c>
      <c r="I7" s="13">
        <v>45322</v>
      </c>
    </row>
    <row r="8" spans="1:9" x14ac:dyDescent="0.3">
      <c r="A8" s="13">
        <v>45298</v>
      </c>
      <c r="B8">
        <v>2024</v>
      </c>
      <c r="C8">
        <v>1</v>
      </c>
      <c r="D8" t="s">
        <v>13</v>
      </c>
      <c r="E8" t="s">
        <v>73</v>
      </c>
      <c r="F8" t="s">
        <v>104</v>
      </c>
      <c r="G8">
        <v>7</v>
      </c>
      <c r="H8" t="s">
        <v>105</v>
      </c>
      <c r="I8" s="13">
        <v>45322</v>
      </c>
    </row>
    <row r="9" spans="1:9" x14ac:dyDescent="0.3">
      <c r="A9" s="13">
        <v>45299</v>
      </c>
      <c r="B9">
        <v>2024</v>
      </c>
      <c r="C9">
        <v>1</v>
      </c>
      <c r="D9" t="s">
        <v>13</v>
      </c>
      <c r="E9" t="s">
        <v>73</v>
      </c>
      <c r="F9" t="s">
        <v>104</v>
      </c>
      <c r="G9">
        <v>8</v>
      </c>
      <c r="H9" t="s">
        <v>105</v>
      </c>
      <c r="I9" s="13">
        <v>45322</v>
      </c>
    </row>
    <row r="10" spans="1:9" x14ac:dyDescent="0.3">
      <c r="A10" s="13">
        <v>45300</v>
      </c>
      <c r="B10">
        <v>2024</v>
      </c>
      <c r="C10">
        <v>1</v>
      </c>
      <c r="D10" t="s">
        <v>13</v>
      </c>
      <c r="E10" t="s">
        <v>73</v>
      </c>
      <c r="F10" t="s">
        <v>104</v>
      </c>
      <c r="G10">
        <v>9</v>
      </c>
      <c r="H10" t="s">
        <v>105</v>
      </c>
      <c r="I10" s="13">
        <v>45322</v>
      </c>
    </row>
    <row r="11" spans="1:9" x14ac:dyDescent="0.3">
      <c r="A11" s="13">
        <v>45301</v>
      </c>
      <c r="B11">
        <v>2024</v>
      </c>
      <c r="C11">
        <v>1</v>
      </c>
      <c r="D11" t="s">
        <v>13</v>
      </c>
      <c r="E11" t="s">
        <v>73</v>
      </c>
      <c r="F11" t="s">
        <v>104</v>
      </c>
      <c r="G11">
        <v>10</v>
      </c>
      <c r="H11" t="s">
        <v>105</v>
      </c>
      <c r="I11" s="13">
        <v>45322</v>
      </c>
    </row>
    <row r="12" spans="1:9" x14ac:dyDescent="0.3">
      <c r="A12" s="13">
        <v>45302</v>
      </c>
      <c r="B12">
        <v>2024</v>
      </c>
      <c r="C12">
        <v>1</v>
      </c>
      <c r="D12" t="s">
        <v>13</v>
      </c>
      <c r="E12" t="s">
        <v>73</v>
      </c>
      <c r="F12" t="s">
        <v>104</v>
      </c>
      <c r="G12">
        <v>11</v>
      </c>
      <c r="H12" t="s">
        <v>105</v>
      </c>
      <c r="I12" s="13">
        <v>45322</v>
      </c>
    </row>
    <row r="13" spans="1:9" x14ac:dyDescent="0.3">
      <c r="A13" s="13">
        <v>45303</v>
      </c>
      <c r="B13">
        <v>2024</v>
      </c>
      <c r="C13">
        <v>1</v>
      </c>
      <c r="D13" t="s">
        <v>13</v>
      </c>
      <c r="E13" t="s">
        <v>73</v>
      </c>
      <c r="F13" t="s">
        <v>104</v>
      </c>
      <c r="G13">
        <v>12</v>
      </c>
      <c r="H13" t="s">
        <v>105</v>
      </c>
      <c r="I13" s="13">
        <v>45322</v>
      </c>
    </row>
    <row r="14" spans="1:9" x14ac:dyDescent="0.3">
      <c r="A14" s="13">
        <v>45304</v>
      </c>
      <c r="B14">
        <v>2024</v>
      </c>
      <c r="C14">
        <v>1</v>
      </c>
      <c r="D14" t="s">
        <v>13</v>
      </c>
      <c r="E14" t="s">
        <v>73</v>
      </c>
      <c r="F14" t="s">
        <v>104</v>
      </c>
      <c r="G14">
        <v>13</v>
      </c>
      <c r="H14" t="s">
        <v>105</v>
      </c>
      <c r="I14" s="13">
        <v>45322</v>
      </c>
    </row>
    <row r="15" spans="1:9" x14ac:dyDescent="0.3">
      <c r="A15" s="13">
        <v>45305</v>
      </c>
      <c r="B15">
        <v>2024</v>
      </c>
      <c r="C15">
        <v>1</v>
      </c>
      <c r="D15" t="s">
        <v>13</v>
      </c>
      <c r="E15" t="s">
        <v>73</v>
      </c>
      <c r="F15" t="s">
        <v>104</v>
      </c>
      <c r="G15">
        <v>14</v>
      </c>
      <c r="H15" t="s">
        <v>105</v>
      </c>
      <c r="I15" s="13">
        <v>45322</v>
      </c>
    </row>
    <row r="16" spans="1:9" x14ac:dyDescent="0.3">
      <c r="A16" s="13">
        <v>45306</v>
      </c>
      <c r="B16">
        <v>2024</v>
      </c>
      <c r="C16">
        <v>1</v>
      </c>
      <c r="D16" t="s">
        <v>13</v>
      </c>
      <c r="E16" t="s">
        <v>73</v>
      </c>
      <c r="F16" t="s">
        <v>104</v>
      </c>
      <c r="G16">
        <v>15</v>
      </c>
      <c r="H16" t="s">
        <v>105</v>
      </c>
      <c r="I16" s="13">
        <v>45322</v>
      </c>
    </row>
    <row r="17" spans="1:9" x14ac:dyDescent="0.3">
      <c r="A17" s="13">
        <v>45307</v>
      </c>
      <c r="B17">
        <v>2024</v>
      </c>
      <c r="C17">
        <v>1</v>
      </c>
      <c r="D17" t="s">
        <v>13</v>
      </c>
      <c r="E17" t="s">
        <v>73</v>
      </c>
      <c r="F17" t="s">
        <v>104</v>
      </c>
      <c r="G17">
        <v>16</v>
      </c>
      <c r="H17" t="s">
        <v>105</v>
      </c>
      <c r="I17" s="13">
        <v>45322</v>
      </c>
    </row>
    <row r="18" spans="1:9" x14ac:dyDescent="0.3">
      <c r="A18" s="13">
        <v>45308</v>
      </c>
      <c r="B18">
        <v>2024</v>
      </c>
      <c r="C18">
        <v>1</v>
      </c>
      <c r="D18" t="s">
        <v>13</v>
      </c>
      <c r="E18" t="s">
        <v>73</v>
      </c>
      <c r="F18" t="s">
        <v>104</v>
      </c>
      <c r="G18">
        <v>17</v>
      </c>
      <c r="H18" t="s">
        <v>105</v>
      </c>
      <c r="I18" s="13">
        <v>45322</v>
      </c>
    </row>
    <row r="19" spans="1:9" x14ac:dyDescent="0.3">
      <c r="A19" s="13">
        <v>45309</v>
      </c>
      <c r="B19">
        <v>2024</v>
      </c>
      <c r="C19">
        <v>1</v>
      </c>
      <c r="D19" t="s">
        <v>13</v>
      </c>
      <c r="E19" t="s">
        <v>73</v>
      </c>
      <c r="F19" t="s">
        <v>104</v>
      </c>
      <c r="G19">
        <v>18</v>
      </c>
      <c r="H19" t="s">
        <v>105</v>
      </c>
      <c r="I19" s="13">
        <v>45322</v>
      </c>
    </row>
    <row r="20" spans="1:9" x14ac:dyDescent="0.3">
      <c r="A20" s="13">
        <v>45310</v>
      </c>
      <c r="B20">
        <v>2024</v>
      </c>
      <c r="C20">
        <v>1</v>
      </c>
      <c r="D20" t="s">
        <v>13</v>
      </c>
      <c r="E20" t="s">
        <v>73</v>
      </c>
      <c r="F20" t="s">
        <v>104</v>
      </c>
      <c r="G20">
        <v>19</v>
      </c>
      <c r="H20" t="s">
        <v>105</v>
      </c>
      <c r="I20" s="13">
        <v>45322</v>
      </c>
    </row>
    <row r="21" spans="1:9" x14ac:dyDescent="0.3">
      <c r="A21" s="13">
        <v>45311</v>
      </c>
      <c r="B21">
        <v>2024</v>
      </c>
      <c r="C21">
        <v>1</v>
      </c>
      <c r="D21" t="s">
        <v>13</v>
      </c>
      <c r="E21" t="s">
        <v>73</v>
      </c>
      <c r="F21" t="s">
        <v>104</v>
      </c>
      <c r="G21">
        <v>20</v>
      </c>
      <c r="H21" t="s">
        <v>105</v>
      </c>
      <c r="I21" s="13">
        <v>45322</v>
      </c>
    </row>
    <row r="22" spans="1:9" x14ac:dyDescent="0.3">
      <c r="A22" s="13">
        <v>45312</v>
      </c>
      <c r="B22">
        <v>2024</v>
      </c>
      <c r="C22">
        <v>1</v>
      </c>
      <c r="D22" t="s">
        <v>13</v>
      </c>
      <c r="E22" t="s">
        <v>73</v>
      </c>
      <c r="F22" t="s">
        <v>104</v>
      </c>
      <c r="G22">
        <v>21</v>
      </c>
      <c r="H22" t="s">
        <v>105</v>
      </c>
      <c r="I22" s="13">
        <v>45322</v>
      </c>
    </row>
    <row r="23" spans="1:9" x14ac:dyDescent="0.3">
      <c r="A23" s="13">
        <v>45313</v>
      </c>
      <c r="B23">
        <v>2024</v>
      </c>
      <c r="C23">
        <v>1</v>
      </c>
      <c r="D23" t="s">
        <v>13</v>
      </c>
      <c r="E23" t="s">
        <v>73</v>
      </c>
      <c r="F23" t="s">
        <v>104</v>
      </c>
      <c r="G23">
        <v>22</v>
      </c>
      <c r="H23" t="s">
        <v>105</v>
      </c>
      <c r="I23" s="13">
        <v>45322</v>
      </c>
    </row>
    <row r="24" spans="1:9" x14ac:dyDescent="0.3">
      <c r="A24" s="13">
        <v>45314</v>
      </c>
      <c r="B24">
        <v>2024</v>
      </c>
      <c r="C24">
        <v>1</v>
      </c>
      <c r="D24" t="s">
        <v>13</v>
      </c>
      <c r="E24" t="s">
        <v>73</v>
      </c>
      <c r="F24" t="s">
        <v>104</v>
      </c>
      <c r="G24">
        <v>23</v>
      </c>
      <c r="H24" t="s">
        <v>105</v>
      </c>
      <c r="I24" s="13">
        <v>45322</v>
      </c>
    </row>
    <row r="25" spans="1:9" x14ac:dyDescent="0.3">
      <c r="A25" s="13">
        <v>45315</v>
      </c>
      <c r="B25">
        <v>2024</v>
      </c>
      <c r="C25">
        <v>1</v>
      </c>
      <c r="D25" t="s">
        <v>13</v>
      </c>
      <c r="E25" t="s">
        <v>73</v>
      </c>
      <c r="F25" t="s">
        <v>104</v>
      </c>
      <c r="G25">
        <v>24</v>
      </c>
      <c r="H25" t="s">
        <v>105</v>
      </c>
      <c r="I25" s="13">
        <v>45322</v>
      </c>
    </row>
    <row r="26" spans="1:9" x14ac:dyDescent="0.3">
      <c r="A26" s="13">
        <v>45316</v>
      </c>
      <c r="B26">
        <v>2024</v>
      </c>
      <c r="C26">
        <v>1</v>
      </c>
      <c r="D26" t="s">
        <v>13</v>
      </c>
      <c r="E26" t="s">
        <v>73</v>
      </c>
      <c r="F26" t="s">
        <v>104</v>
      </c>
      <c r="G26">
        <v>25</v>
      </c>
      <c r="H26" t="s">
        <v>105</v>
      </c>
      <c r="I26" s="13">
        <v>45322</v>
      </c>
    </row>
    <row r="27" spans="1:9" x14ac:dyDescent="0.3">
      <c r="A27" s="13">
        <v>45317</v>
      </c>
      <c r="B27">
        <v>2024</v>
      </c>
      <c r="C27">
        <v>1</v>
      </c>
      <c r="D27" t="s">
        <v>13</v>
      </c>
      <c r="E27" t="s">
        <v>73</v>
      </c>
      <c r="F27" t="s">
        <v>104</v>
      </c>
      <c r="G27">
        <v>26</v>
      </c>
      <c r="H27" t="s">
        <v>105</v>
      </c>
      <c r="I27" s="13">
        <v>45322</v>
      </c>
    </row>
    <row r="28" spans="1:9" x14ac:dyDescent="0.3">
      <c r="A28" s="13">
        <v>45318</v>
      </c>
      <c r="B28">
        <v>2024</v>
      </c>
      <c r="C28">
        <v>1</v>
      </c>
      <c r="D28" t="s">
        <v>13</v>
      </c>
      <c r="E28" t="s">
        <v>73</v>
      </c>
      <c r="F28" t="s">
        <v>104</v>
      </c>
      <c r="G28">
        <v>27</v>
      </c>
      <c r="H28" t="s">
        <v>105</v>
      </c>
      <c r="I28" s="13">
        <v>45322</v>
      </c>
    </row>
    <row r="29" spans="1:9" x14ac:dyDescent="0.3">
      <c r="A29" s="13">
        <v>45319</v>
      </c>
      <c r="B29">
        <v>2024</v>
      </c>
      <c r="C29">
        <v>1</v>
      </c>
      <c r="D29" t="s">
        <v>13</v>
      </c>
      <c r="E29" t="s">
        <v>73</v>
      </c>
      <c r="F29" t="s">
        <v>104</v>
      </c>
      <c r="G29">
        <v>28</v>
      </c>
      <c r="H29" t="s">
        <v>105</v>
      </c>
      <c r="I29" s="13">
        <v>45322</v>
      </c>
    </row>
    <row r="30" spans="1:9" x14ac:dyDescent="0.3">
      <c r="A30" s="13">
        <v>45320</v>
      </c>
      <c r="B30">
        <v>2024</v>
      </c>
      <c r="C30">
        <v>1</v>
      </c>
      <c r="D30" t="s">
        <v>13</v>
      </c>
      <c r="E30" t="s">
        <v>73</v>
      </c>
      <c r="F30" t="s">
        <v>104</v>
      </c>
      <c r="G30">
        <v>29</v>
      </c>
      <c r="H30" t="s">
        <v>105</v>
      </c>
      <c r="I30" s="13">
        <v>45322</v>
      </c>
    </row>
    <row r="31" spans="1:9" x14ac:dyDescent="0.3">
      <c r="A31" s="13">
        <v>45321</v>
      </c>
      <c r="B31">
        <v>2024</v>
      </c>
      <c r="C31">
        <v>1</v>
      </c>
      <c r="D31" t="s">
        <v>13</v>
      </c>
      <c r="E31" t="s">
        <v>73</v>
      </c>
      <c r="F31" t="s">
        <v>104</v>
      </c>
      <c r="G31">
        <v>30</v>
      </c>
      <c r="H31" t="s">
        <v>105</v>
      </c>
      <c r="I31" s="13">
        <v>45322</v>
      </c>
    </row>
    <row r="32" spans="1:9" x14ac:dyDescent="0.3">
      <c r="A32" s="13">
        <v>45322</v>
      </c>
      <c r="B32">
        <v>2024</v>
      </c>
      <c r="C32">
        <v>1</v>
      </c>
      <c r="D32" t="s">
        <v>13</v>
      </c>
      <c r="E32" t="s">
        <v>73</v>
      </c>
      <c r="F32" t="s">
        <v>104</v>
      </c>
      <c r="G32">
        <v>31</v>
      </c>
      <c r="H32" t="s">
        <v>105</v>
      </c>
      <c r="I32" s="13">
        <v>45322</v>
      </c>
    </row>
    <row r="33" spans="1:9" x14ac:dyDescent="0.3">
      <c r="A33" s="13">
        <v>45323</v>
      </c>
      <c r="B33">
        <v>2024</v>
      </c>
      <c r="C33">
        <v>2</v>
      </c>
      <c r="D33" t="s">
        <v>2</v>
      </c>
      <c r="E33" t="s">
        <v>74</v>
      </c>
      <c r="F33" t="s">
        <v>104</v>
      </c>
      <c r="G33">
        <v>1</v>
      </c>
      <c r="H33" t="s">
        <v>106</v>
      </c>
      <c r="I33" s="13">
        <v>45351</v>
      </c>
    </row>
    <row r="34" spans="1:9" x14ac:dyDescent="0.3">
      <c r="A34" s="13">
        <v>45324</v>
      </c>
      <c r="B34">
        <v>2024</v>
      </c>
      <c r="C34">
        <v>2</v>
      </c>
      <c r="D34" t="s">
        <v>2</v>
      </c>
      <c r="E34" t="s">
        <v>74</v>
      </c>
      <c r="F34" t="s">
        <v>104</v>
      </c>
      <c r="G34">
        <v>2</v>
      </c>
      <c r="H34" t="s">
        <v>106</v>
      </c>
      <c r="I34" s="13">
        <v>45351</v>
      </c>
    </row>
    <row r="35" spans="1:9" x14ac:dyDescent="0.3">
      <c r="A35" s="13">
        <v>45325</v>
      </c>
      <c r="B35">
        <v>2024</v>
      </c>
      <c r="C35">
        <v>2</v>
      </c>
      <c r="D35" t="s">
        <v>2</v>
      </c>
      <c r="E35" t="s">
        <v>74</v>
      </c>
      <c r="F35" t="s">
        <v>104</v>
      </c>
      <c r="G35">
        <v>3</v>
      </c>
      <c r="H35" t="s">
        <v>106</v>
      </c>
      <c r="I35" s="13">
        <v>45351</v>
      </c>
    </row>
    <row r="36" spans="1:9" x14ac:dyDescent="0.3">
      <c r="A36" s="13">
        <v>45326</v>
      </c>
      <c r="B36">
        <v>2024</v>
      </c>
      <c r="C36">
        <v>2</v>
      </c>
      <c r="D36" t="s">
        <v>2</v>
      </c>
      <c r="E36" t="s">
        <v>74</v>
      </c>
      <c r="F36" t="s">
        <v>104</v>
      </c>
      <c r="G36">
        <v>4</v>
      </c>
      <c r="H36" t="s">
        <v>106</v>
      </c>
      <c r="I36" s="13">
        <v>45351</v>
      </c>
    </row>
    <row r="37" spans="1:9" x14ac:dyDescent="0.3">
      <c r="A37" s="13">
        <v>45327</v>
      </c>
      <c r="B37">
        <v>2024</v>
      </c>
      <c r="C37">
        <v>2</v>
      </c>
      <c r="D37" t="s">
        <v>2</v>
      </c>
      <c r="E37" t="s">
        <v>74</v>
      </c>
      <c r="F37" t="s">
        <v>104</v>
      </c>
      <c r="G37">
        <v>5</v>
      </c>
      <c r="H37" t="s">
        <v>106</v>
      </c>
      <c r="I37" s="13">
        <v>45351</v>
      </c>
    </row>
    <row r="38" spans="1:9" x14ac:dyDescent="0.3">
      <c r="A38" s="13">
        <v>45328</v>
      </c>
      <c r="B38">
        <v>2024</v>
      </c>
      <c r="C38">
        <v>2</v>
      </c>
      <c r="D38" t="s">
        <v>2</v>
      </c>
      <c r="E38" t="s">
        <v>74</v>
      </c>
      <c r="F38" t="s">
        <v>104</v>
      </c>
      <c r="G38">
        <v>6</v>
      </c>
      <c r="H38" t="s">
        <v>106</v>
      </c>
      <c r="I38" s="13">
        <v>45351</v>
      </c>
    </row>
    <row r="39" spans="1:9" x14ac:dyDescent="0.3">
      <c r="A39" s="13">
        <v>45329</v>
      </c>
      <c r="B39">
        <v>2024</v>
      </c>
      <c r="C39">
        <v>2</v>
      </c>
      <c r="D39" t="s">
        <v>2</v>
      </c>
      <c r="E39" t="s">
        <v>74</v>
      </c>
      <c r="F39" t="s">
        <v>104</v>
      </c>
      <c r="G39">
        <v>7</v>
      </c>
      <c r="H39" t="s">
        <v>106</v>
      </c>
      <c r="I39" s="13">
        <v>45351</v>
      </c>
    </row>
    <row r="40" spans="1:9" x14ac:dyDescent="0.3">
      <c r="A40" s="13">
        <v>45330</v>
      </c>
      <c r="B40">
        <v>2024</v>
      </c>
      <c r="C40">
        <v>2</v>
      </c>
      <c r="D40" t="s">
        <v>2</v>
      </c>
      <c r="E40" t="s">
        <v>74</v>
      </c>
      <c r="F40" t="s">
        <v>104</v>
      </c>
      <c r="G40">
        <v>8</v>
      </c>
      <c r="H40" t="s">
        <v>106</v>
      </c>
      <c r="I40" s="13">
        <v>45351</v>
      </c>
    </row>
    <row r="41" spans="1:9" x14ac:dyDescent="0.3">
      <c r="A41" s="13">
        <v>45331</v>
      </c>
      <c r="B41">
        <v>2024</v>
      </c>
      <c r="C41">
        <v>2</v>
      </c>
      <c r="D41" t="s">
        <v>2</v>
      </c>
      <c r="E41" t="s">
        <v>74</v>
      </c>
      <c r="F41" t="s">
        <v>104</v>
      </c>
      <c r="G41">
        <v>9</v>
      </c>
      <c r="H41" t="s">
        <v>106</v>
      </c>
      <c r="I41" s="13">
        <v>45351</v>
      </c>
    </row>
    <row r="42" spans="1:9" x14ac:dyDescent="0.3">
      <c r="A42" s="13">
        <v>45332</v>
      </c>
      <c r="B42">
        <v>2024</v>
      </c>
      <c r="C42">
        <v>2</v>
      </c>
      <c r="D42" t="s">
        <v>2</v>
      </c>
      <c r="E42" t="s">
        <v>74</v>
      </c>
      <c r="F42" t="s">
        <v>104</v>
      </c>
      <c r="G42">
        <v>10</v>
      </c>
      <c r="H42" t="s">
        <v>106</v>
      </c>
      <c r="I42" s="13">
        <v>45351</v>
      </c>
    </row>
    <row r="43" spans="1:9" x14ac:dyDescent="0.3">
      <c r="A43" s="13">
        <v>45333</v>
      </c>
      <c r="B43">
        <v>2024</v>
      </c>
      <c r="C43">
        <v>2</v>
      </c>
      <c r="D43" t="s">
        <v>2</v>
      </c>
      <c r="E43" t="s">
        <v>74</v>
      </c>
      <c r="F43" t="s">
        <v>104</v>
      </c>
      <c r="G43">
        <v>11</v>
      </c>
      <c r="H43" t="s">
        <v>106</v>
      </c>
      <c r="I43" s="13">
        <v>45351</v>
      </c>
    </row>
    <row r="44" spans="1:9" x14ac:dyDescent="0.3">
      <c r="A44" s="13">
        <v>45334</v>
      </c>
      <c r="B44">
        <v>2024</v>
      </c>
      <c r="C44">
        <v>2</v>
      </c>
      <c r="D44" t="s">
        <v>2</v>
      </c>
      <c r="E44" t="s">
        <v>74</v>
      </c>
      <c r="F44" t="s">
        <v>104</v>
      </c>
      <c r="G44">
        <v>12</v>
      </c>
      <c r="H44" t="s">
        <v>106</v>
      </c>
      <c r="I44" s="13">
        <v>45351</v>
      </c>
    </row>
    <row r="45" spans="1:9" x14ac:dyDescent="0.3">
      <c r="A45" s="13">
        <v>45335</v>
      </c>
      <c r="B45">
        <v>2024</v>
      </c>
      <c r="C45">
        <v>2</v>
      </c>
      <c r="D45" t="s">
        <v>2</v>
      </c>
      <c r="E45" t="s">
        <v>74</v>
      </c>
      <c r="F45" t="s">
        <v>104</v>
      </c>
      <c r="G45">
        <v>13</v>
      </c>
      <c r="H45" t="s">
        <v>106</v>
      </c>
      <c r="I45" s="13">
        <v>45351</v>
      </c>
    </row>
    <row r="46" spans="1:9" x14ac:dyDescent="0.3">
      <c r="A46" s="13">
        <v>45336</v>
      </c>
      <c r="B46">
        <v>2024</v>
      </c>
      <c r="C46">
        <v>2</v>
      </c>
      <c r="D46" t="s">
        <v>2</v>
      </c>
      <c r="E46" t="s">
        <v>74</v>
      </c>
      <c r="F46" t="s">
        <v>104</v>
      </c>
      <c r="G46">
        <v>14</v>
      </c>
      <c r="H46" t="s">
        <v>106</v>
      </c>
      <c r="I46" s="13">
        <v>45351</v>
      </c>
    </row>
    <row r="47" spans="1:9" x14ac:dyDescent="0.3">
      <c r="A47" s="13">
        <v>45337</v>
      </c>
      <c r="B47">
        <v>2024</v>
      </c>
      <c r="C47">
        <v>2</v>
      </c>
      <c r="D47" t="s">
        <v>2</v>
      </c>
      <c r="E47" t="s">
        <v>74</v>
      </c>
      <c r="F47" t="s">
        <v>104</v>
      </c>
      <c r="G47">
        <v>15</v>
      </c>
      <c r="H47" t="s">
        <v>106</v>
      </c>
      <c r="I47" s="13">
        <v>45351</v>
      </c>
    </row>
    <row r="48" spans="1:9" x14ac:dyDescent="0.3">
      <c r="A48" s="13">
        <v>45338</v>
      </c>
      <c r="B48">
        <v>2024</v>
      </c>
      <c r="C48">
        <v>2</v>
      </c>
      <c r="D48" t="s">
        <v>2</v>
      </c>
      <c r="E48" t="s">
        <v>74</v>
      </c>
      <c r="F48" t="s">
        <v>104</v>
      </c>
      <c r="G48">
        <v>16</v>
      </c>
      <c r="H48" t="s">
        <v>106</v>
      </c>
      <c r="I48" s="13">
        <v>45351</v>
      </c>
    </row>
    <row r="49" spans="1:9" x14ac:dyDescent="0.3">
      <c r="A49" s="13">
        <v>45339</v>
      </c>
      <c r="B49">
        <v>2024</v>
      </c>
      <c r="C49">
        <v>2</v>
      </c>
      <c r="D49" t="s">
        <v>2</v>
      </c>
      <c r="E49" t="s">
        <v>74</v>
      </c>
      <c r="F49" t="s">
        <v>104</v>
      </c>
      <c r="G49">
        <v>17</v>
      </c>
      <c r="H49" t="s">
        <v>106</v>
      </c>
      <c r="I49" s="13">
        <v>45351</v>
      </c>
    </row>
    <row r="50" spans="1:9" x14ac:dyDescent="0.3">
      <c r="A50" s="13">
        <v>45340</v>
      </c>
      <c r="B50">
        <v>2024</v>
      </c>
      <c r="C50">
        <v>2</v>
      </c>
      <c r="D50" t="s">
        <v>2</v>
      </c>
      <c r="E50" t="s">
        <v>74</v>
      </c>
      <c r="F50" t="s">
        <v>104</v>
      </c>
      <c r="G50">
        <v>18</v>
      </c>
      <c r="H50" t="s">
        <v>106</v>
      </c>
      <c r="I50" s="13">
        <v>45351</v>
      </c>
    </row>
    <row r="51" spans="1:9" x14ac:dyDescent="0.3">
      <c r="A51" s="13">
        <v>45341</v>
      </c>
      <c r="B51">
        <v>2024</v>
      </c>
      <c r="C51">
        <v>2</v>
      </c>
      <c r="D51" t="s">
        <v>2</v>
      </c>
      <c r="E51" t="s">
        <v>74</v>
      </c>
      <c r="F51" t="s">
        <v>104</v>
      </c>
      <c r="G51">
        <v>19</v>
      </c>
      <c r="H51" t="s">
        <v>106</v>
      </c>
      <c r="I51" s="13">
        <v>45351</v>
      </c>
    </row>
    <row r="52" spans="1:9" x14ac:dyDescent="0.3">
      <c r="A52" s="13">
        <v>45342</v>
      </c>
      <c r="B52">
        <v>2024</v>
      </c>
      <c r="C52">
        <v>2</v>
      </c>
      <c r="D52" t="s">
        <v>2</v>
      </c>
      <c r="E52" t="s">
        <v>74</v>
      </c>
      <c r="F52" t="s">
        <v>104</v>
      </c>
      <c r="G52">
        <v>20</v>
      </c>
      <c r="H52" t="s">
        <v>106</v>
      </c>
      <c r="I52" s="13">
        <v>45351</v>
      </c>
    </row>
    <row r="53" spans="1:9" x14ac:dyDescent="0.3">
      <c r="A53" s="13">
        <v>45343</v>
      </c>
      <c r="B53">
        <v>2024</v>
      </c>
      <c r="C53">
        <v>2</v>
      </c>
      <c r="D53" t="s">
        <v>2</v>
      </c>
      <c r="E53" t="s">
        <v>74</v>
      </c>
      <c r="F53" t="s">
        <v>104</v>
      </c>
      <c r="G53">
        <v>21</v>
      </c>
      <c r="H53" t="s">
        <v>106</v>
      </c>
      <c r="I53" s="13">
        <v>45351</v>
      </c>
    </row>
    <row r="54" spans="1:9" x14ac:dyDescent="0.3">
      <c r="A54" s="13">
        <v>45344</v>
      </c>
      <c r="B54">
        <v>2024</v>
      </c>
      <c r="C54">
        <v>2</v>
      </c>
      <c r="D54" t="s">
        <v>2</v>
      </c>
      <c r="E54" t="s">
        <v>74</v>
      </c>
      <c r="F54" t="s">
        <v>104</v>
      </c>
      <c r="G54">
        <v>22</v>
      </c>
      <c r="H54" t="s">
        <v>106</v>
      </c>
      <c r="I54" s="13">
        <v>45351</v>
      </c>
    </row>
    <row r="55" spans="1:9" x14ac:dyDescent="0.3">
      <c r="A55" s="13">
        <v>45345</v>
      </c>
      <c r="B55">
        <v>2024</v>
      </c>
      <c r="C55">
        <v>2</v>
      </c>
      <c r="D55" t="s">
        <v>2</v>
      </c>
      <c r="E55" t="s">
        <v>74</v>
      </c>
      <c r="F55" t="s">
        <v>104</v>
      </c>
      <c r="G55">
        <v>23</v>
      </c>
      <c r="H55" t="s">
        <v>106</v>
      </c>
      <c r="I55" s="13">
        <v>45351</v>
      </c>
    </row>
    <row r="56" spans="1:9" x14ac:dyDescent="0.3">
      <c r="A56" s="13">
        <v>45346</v>
      </c>
      <c r="B56">
        <v>2024</v>
      </c>
      <c r="C56">
        <v>2</v>
      </c>
      <c r="D56" t="s">
        <v>2</v>
      </c>
      <c r="E56" t="s">
        <v>74</v>
      </c>
      <c r="F56" t="s">
        <v>104</v>
      </c>
      <c r="G56">
        <v>24</v>
      </c>
      <c r="H56" t="s">
        <v>106</v>
      </c>
      <c r="I56" s="13">
        <v>45351</v>
      </c>
    </row>
    <row r="57" spans="1:9" x14ac:dyDescent="0.3">
      <c r="A57" s="13">
        <v>45347</v>
      </c>
      <c r="B57">
        <v>2024</v>
      </c>
      <c r="C57">
        <v>2</v>
      </c>
      <c r="D57" t="s">
        <v>2</v>
      </c>
      <c r="E57" t="s">
        <v>74</v>
      </c>
      <c r="F57" t="s">
        <v>104</v>
      </c>
      <c r="G57">
        <v>25</v>
      </c>
      <c r="H57" t="s">
        <v>106</v>
      </c>
      <c r="I57" s="13">
        <v>45351</v>
      </c>
    </row>
    <row r="58" spans="1:9" x14ac:dyDescent="0.3">
      <c r="A58" s="13">
        <v>45348</v>
      </c>
      <c r="B58">
        <v>2024</v>
      </c>
      <c r="C58">
        <v>2</v>
      </c>
      <c r="D58" t="s">
        <v>2</v>
      </c>
      <c r="E58" t="s">
        <v>74</v>
      </c>
      <c r="F58" t="s">
        <v>104</v>
      </c>
      <c r="G58">
        <v>26</v>
      </c>
      <c r="H58" t="s">
        <v>106</v>
      </c>
      <c r="I58" s="13">
        <v>45351</v>
      </c>
    </row>
    <row r="59" spans="1:9" x14ac:dyDescent="0.3">
      <c r="A59" s="13">
        <v>45349</v>
      </c>
      <c r="B59">
        <v>2024</v>
      </c>
      <c r="C59">
        <v>2</v>
      </c>
      <c r="D59" t="s">
        <v>2</v>
      </c>
      <c r="E59" t="s">
        <v>74</v>
      </c>
      <c r="F59" t="s">
        <v>104</v>
      </c>
      <c r="G59">
        <v>27</v>
      </c>
      <c r="H59" t="s">
        <v>106</v>
      </c>
      <c r="I59" s="13">
        <v>45351</v>
      </c>
    </row>
    <row r="60" spans="1:9" x14ac:dyDescent="0.3">
      <c r="A60" s="13">
        <v>45350</v>
      </c>
      <c r="B60">
        <v>2024</v>
      </c>
      <c r="C60">
        <v>2</v>
      </c>
      <c r="D60" t="s">
        <v>2</v>
      </c>
      <c r="E60" t="s">
        <v>74</v>
      </c>
      <c r="F60" t="s">
        <v>104</v>
      </c>
      <c r="G60">
        <v>28</v>
      </c>
      <c r="H60" t="s">
        <v>106</v>
      </c>
      <c r="I60" s="13">
        <v>45351</v>
      </c>
    </row>
    <row r="61" spans="1:9" x14ac:dyDescent="0.3">
      <c r="A61" s="13">
        <v>45351</v>
      </c>
      <c r="B61">
        <v>2024</v>
      </c>
      <c r="C61">
        <v>2</v>
      </c>
      <c r="D61" t="s">
        <v>2</v>
      </c>
      <c r="E61" t="s">
        <v>74</v>
      </c>
      <c r="F61" t="s">
        <v>104</v>
      </c>
      <c r="G61">
        <v>29</v>
      </c>
      <c r="H61" t="s">
        <v>106</v>
      </c>
      <c r="I61" s="13">
        <v>45351</v>
      </c>
    </row>
    <row r="62" spans="1:9" x14ac:dyDescent="0.3">
      <c r="A62" s="13">
        <v>45352</v>
      </c>
      <c r="B62">
        <v>2024</v>
      </c>
      <c r="C62">
        <v>3</v>
      </c>
      <c r="D62" t="s">
        <v>3</v>
      </c>
      <c r="E62" t="s">
        <v>75</v>
      </c>
      <c r="F62" t="s">
        <v>104</v>
      </c>
      <c r="G62">
        <v>1</v>
      </c>
      <c r="H62" t="s">
        <v>107</v>
      </c>
      <c r="I62" s="13">
        <v>45382</v>
      </c>
    </row>
    <row r="63" spans="1:9" x14ac:dyDescent="0.3">
      <c r="A63" s="13">
        <v>45353</v>
      </c>
      <c r="B63">
        <v>2024</v>
      </c>
      <c r="C63">
        <v>3</v>
      </c>
      <c r="D63" t="s">
        <v>3</v>
      </c>
      <c r="E63" t="s">
        <v>75</v>
      </c>
      <c r="F63" t="s">
        <v>104</v>
      </c>
      <c r="G63">
        <v>2</v>
      </c>
      <c r="H63" t="s">
        <v>107</v>
      </c>
      <c r="I63" s="13">
        <v>45382</v>
      </c>
    </row>
    <row r="64" spans="1:9" x14ac:dyDescent="0.3">
      <c r="A64" s="13">
        <v>45354</v>
      </c>
      <c r="B64">
        <v>2024</v>
      </c>
      <c r="C64">
        <v>3</v>
      </c>
      <c r="D64" t="s">
        <v>3</v>
      </c>
      <c r="E64" t="s">
        <v>75</v>
      </c>
      <c r="F64" t="s">
        <v>104</v>
      </c>
      <c r="G64">
        <v>3</v>
      </c>
      <c r="H64" t="s">
        <v>107</v>
      </c>
      <c r="I64" s="13">
        <v>45382</v>
      </c>
    </row>
    <row r="65" spans="1:9" x14ac:dyDescent="0.3">
      <c r="A65" s="13">
        <v>45355</v>
      </c>
      <c r="B65">
        <v>2024</v>
      </c>
      <c r="C65">
        <v>3</v>
      </c>
      <c r="D65" t="s">
        <v>3</v>
      </c>
      <c r="E65" t="s">
        <v>75</v>
      </c>
      <c r="F65" t="s">
        <v>104</v>
      </c>
      <c r="G65">
        <v>4</v>
      </c>
      <c r="H65" t="s">
        <v>107</v>
      </c>
      <c r="I65" s="13">
        <v>45382</v>
      </c>
    </row>
    <row r="66" spans="1:9" x14ac:dyDescent="0.3">
      <c r="A66" s="13">
        <v>45356</v>
      </c>
      <c r="B66">
        <v>2024</v>
      </c>
      <c r="C66">
        <v>3</v>
      </c>
      <c r="D66" t="s">
        <v>3</v>
      </c>
      <c r="E66" t="s">
        <v>75</v>
      </c>
      <c r="F66" t="s">
        <v>104</v>
      </c>
      <c r="G66">
        <v>5</v>
      </c>
      <c r="H66" t="s">
        <v>107</v>
      </c>
      <c r="I66" s="13">
        <v>45382</v>
      </c>
    </row>
    <row r="67" spans="1:9" x14ac:dyDescent="0.3">
      <c r="A67" s="13">
        <v>45357</v>
      </c>
      <c r="B67">
        <v>2024</v>
      </c>
      <c r="C67">
        <v>3</v>
      </c>
      <c r="D67" t="s">
        <v>3</v>
      </c>
      <c r="E67" t="s">
        <v>75</v>
      </c>
      <c r="F67" t="s">
        <v>104</v>
      </c>
      <c r="G67">
        <v>6</v>
      </c>
      <c r="H67" t="s">
        <v>107</v>
      </c>
      <c r="I67" s="13">
        <v>45382</v>
      </c>
    </row>
    <row r="68" spans="1:9" x14ac:dyDescent="0.3">
      <c r="A68" s="13">
        <v>45358</v>
      </c>
      <c r="B68">
        <v>2024</v>
      </c>
      <c r="C68">
        <v>3</v>
      </c>
      <c r="D68" t="s">
        <v>3</v>
      </c>
      <c r="E68" t="s">
        <v>75</v>
      </c>
      <c r="F68" t="s">
        <v>104</v>
      </c>
      <c r="G68">
        <v>7</v>
      </c>
      <c r="H68" t="s">
        <v>107</v>
      </c>
      <c r="I68" s="13">
        <v>45382</v>
      </c>
    </row>
    <row r="69" spans="1:9" x14ac:dyDescent="0.3">
      <c r="A69" s="13">
        <v>45359</v>
      </c>
      <c r="B69">
        <v>2024</v>
      </c>
      <c r="C69">
        <v>3</v>
      </c>
      <c r="D69" t="s">
        <v>3</v>
      </c>
      <c r="E69" t="s">
        <v>75</v>
      </c>
      <c r="F69" t="s">
        <v>104</v>
      </c>
      <c r="G69">
        <v>8</v>
      </c>
      <c r="H69" t="s">
        <v>107</v>
      </c>
      <c r="I69" s="13">
        <v>45382</v>
      </c>
    </row>
    <row r="70" spans="1:9" x14ac:dyDescent="0.3">
      <c r="A70" s="13">
        <v>45360</v>
      </c>
      <c r="B70">
        <v>2024</v>
      </c>
      <c r="C70">
        <v>3</v>
      </c>
      <c r="D70" t="s">
        <v>3</v>
      </c>
      <c r="E70" t="s">
        <v>75</v>
      </c>
      <c r="F70" t="s">
        <v>104</v>
      </c>
      <c r="G70">
        <v>9</v>
      </c>
      <c r="H70" t="s">
        <v>107</v>
      </c>
      <c r="I70" s="13">
        <v>45382</v>
      </c>
    </row>
    <row r="71" spans="1:9" x14ac:dyDescent="0.3">
      <c r="A71" s="13">
        <v>45361</v>
      </c>
      <c r="B71">
        <v>2024</v>
      </c>
      <c r="C71">
        <v>3</v>
      </c>
      <c r="D71" t="s">
        <v>3</v>
      </c>
      <c r="E71" t="s">
        <v>75</v>
      </c>
      <c r="F71" t="s">
        <v>104</v>
      </c>
      <c r="G71">
        <v>10</v>
      </c>
      <c r="H71" t="s">
        <v>107</v>
      </c>
      <c r="I71" s="13">
        <v>45382</v>
      </c>
    </row>
    <row r="72" spans="1:9" x14ac:dyDescent="0.3">
      <c r="A72" s="13">
        <v>45362</v>
      </c>
      <c r="B72">
        <v>2024</v>
      </c>
      <c r="C72">
        <v>3</v>
      </c>
      <c r="D72" t="s">
        <v>3</v>
      </c>
      <c r="E72" t="s">
        <v>75</v>
      </c>
      <c r="F72" t="s">
        <v>104</v>
      </c>
      <c r="G72">
        <v>11</v>
      </c>
      <c r="H72" t="s">
        <v>107</v>
      </c>
      <c r="I72" s="13">
        <v>45382</v>
      </c>
    </row>
    <row r="73" spans="1:9" x14ac:dyDescent="0.3">
      <c r="A73" s="13">
        <v>45363</v>
      </c>
      <c r="B73">
        <v>2024</v>
      </c>
      <c r="C73">
        <v>3</v>
      </c>
      <c r="D73" t="s">
        <v>3</v>
      </c>
      <c r="E73" t="s">
        <v>75</v>
      </c>
      <c r="F73" t="s">
        <v>104</v>
      </c>
      <c r="G73">
        <v>12</v>
      </c>
      <c r="H73" t="s">
        <v>107</v>
      </c>
      <c r="I73" s="13">
        <v>45382</v>
      </c>
    </row>
    <row r="74" spans="1:9" x14ac:dyDescent="0.3">
      <c r="A74" s="13">
        <v>45364</v>
      </c>
      <c r="B74">
        <v>2024</v>
      </c>
      <c r="C74">
        <v>3</v>
      </c>
      <c r="D74" t="s">
        <v>3</v>
      </c>
      <c r="E74" t="s">
        <v>75</v>
      </c>
      <c r="F74" t="s">
        <v>104</v>
      </c>
      <c r="G74">
        <v>13</v>
      </c>
      <c r="H74" t="s">
        <v>107</v>
      </c>
      <c r="I74" s="13">
        <v>45382</v>
      </c>
    </row>
    <row r="75" spans="1:9" x14ac:dyDescent="0.3">
      <c r="A75" s="13">
        <v>45365</v>
      </c>
      <c r="B75">
        <v>2024</v>
      </c>
      <c r="C75">
        <v>3</v>
      </c>
      <c r="D75" t="s">
        <v>3</v>
      </c>
      <c r="E75" t="s">
        <v>75</v>
      </c>
      <c r="F75" t="s">
        <v>104</v>
      </c>
      <c r="G75">
        <v>14</v>
      </c>
      <c r="H75" t="s">
        <v>107</v>
      </c>
      <c r="I75" s="13">
        <v>45382</v>
      </c>
    </row>
    <row r="76" spans="1:9" x14ac:dyDescent="0.3">
      <c r="A76" s="13">
        <v>45366</v>
      </c>
      <c r="B76">
        <v>2024</v>
      </c>
      <c r="C76">
        <v>3</v>
      </c>
      <c r="D76" t="s">
        <v>3</v>
      </c>
      <c r="E76" t="s">
        <v>75</v>
      </c>
      <c r="F76" t="s">
        <v>104</v>
      </c>
      <c r="G76">
        <v>15</v>
      </c>
      <c r="H76" t="s">
        <v>107</v>
      </c>
      <c r="I76" s="13">
        <v>45382</v>
      </c>
    </row>
    <row r="77" spans="1:9" x14ac:dyDescent="0.3">
      <c r="A77" s="13">
        <v>45367</v>
      </c>
      <c r="B77">
        <v>2024</v>
      </c>
      <c r="C77">
        <v>3</v>
      </c>
      <c r="D77" t="s">
        <v>3</v>
      </c>
      <c r="E77" t="s">
        <v>75</v>
      </c>
      <c r="F77" t="s">
        <v>104</v>
      </c>
      <c r="G77">
        <v>16</v>
      </c>
      <c r="H77" t="s">
        <v>107</v>
      </c>
      <c r="I77" s="13">
        <v>45382</v>
      </c>
    </row>
    <row r="78" spans="1:9" x14ac:dyDescent="0.3">
      <c r="A78" s="13">
        <v>45368</v>
      </c>
      <c r="B78">
        <v>2024</v>
      </c>
      <c r="C78">
        <v>3</v>
      </c>
      <c r="D78" t="s">
        <v>3</v>
      </c>
      <c r="E78" t="s">
        <v>75</v>
      </c>
      <c r="F78" t="s">
        <v>104</v>
      </c>
      <c r="G78">
        <v>17</v>
      </c>
      <c r="H78" t="s">
        <v>107</v>
      </c>
      <c r="I78" s="13">
        <v>45382</v>
      </c>
    </row>
    <row r="79" spans="1:9" x14ac:dyDescent="0.3">
      <c r="A79" s="13">
        <v>45369</v>
      </c>
      <c r="B79">
        <v>2024</v>
      </c>
      <c r="C79">
        <v>3</v>
      </c>
      <c r="D79" t="s">
        <v>3</v>
      </c>
      <c r="E79" t="s">
        <v>75</v>
      </c>
      <c r="F79" t="s">
        <v>104</v>
      </c>
      <c r="G79">
        <v>18</v>
      </c>
      <c r="H79" t="s">
        <v>107</v>
      </c>
      <c r="I79" s="13">
        <v>45382</v>
      </c>
    </row>
    <row r="80" spans="1:9" x14ac:dyDescent="0.3">
      <c r="A80" s="13">
        <v>45370</v>
      </c>
      <c r="B80">
        <v>2024</v>
      </c>
      <c r="C80">
        <v>3</v>
      </c>
      <c r="D80" t="s">
        <v>3</v>
      </c>
      <c r="E80" t="s">
        <v>75</v>
      </c>
      <c r="F80" t="s">
        <v>104</v>
      </c>
      <c r="G80">
        <v>19</v>
      </c>
      <c r="H80" t="s">
        <v>107</v>
      </c>
      <c r="I80" s="13">
        <v>45382</v>
      </c>
    </row>
    <row r="81" spans="1:9" x14ac:dyDescent="0.3">
      <c r="A81" s="13">
        <v>45371</v>
      </c>
      <c r="B81">
        <v>2024</v>
      </c>
      <c r="C81">
        <v>3</v>
      </c>
      <c r="D81" t="s">
        <v>3</v>
      </c>
      <c r="E81" t="s">
        <v>75</v>
      </c>
      <c r="F81" t="s">
        <v>104</v>
      </c>
      <c r="G81">
        <v>20</v>
      </c>
      <c r="H81" t="s">
        <v>107</v>
      </c>
      <c r="I81" s="13">
        <v>45382</v>
      </c>
    </row>
    <row r="82" spans="1:9" x14ac:dyDescent="0.3">
      <c r="A82" s="13">
        <v>45372</v>
      </c>
      <c r="B82">
        <v>2024</v>
      </c>
      <c r="C82">
        <v>3</v>
      </c>
      <c r="D82" t="s">
        <v>3</v>
      </c>
      <c r="E82" t="s">
        <v>75</v>
      </c>
      <c r="F82" t="s">
        <v>104</v>
      </c>
      <c r="G82">
        <v>21</v>
      </c>
      <c r="H82" t="s">
        <v>107</v>
      </c>
      <c r="I82" s="13">
        <v>45382</v>
      </c>
    </row>
    <row r="83" spans="1:9" x14ac:dyDescent="0.3">
      <c r="A83" s="13">
        <v>45373</v>
      </c>
      <c r="B83">
        <v>2024</v>
      </c>
      <c r="C83">
        <v>3</v>
      </c>
      <c r="D83" t="s">
        <v>3</v>
      </c>
      <c r="E83" t="s">
        <v>75</v>
      </c>
      <c r="F83" t="s">
        <v>104</v>
      </c>
      <c r="G83">
        <v>22</v>
      </c>
      <c r="H83" t="s">
        <v>107</v>
      </c>
      <c r="I83" s="13">
        <v>45382</v>
      </c>
    </row>
    <row r="84" spans="1:9" x14ac:dyDescent="0.3">
      <c r="A84" s="13">
        <v>45374</v>
      </c>
      <c r="B84">
        <v>2024</v>
      </c>
      <c r="C84">
        <v>3</v>
      </c>
      <c r="D84" t="s">
        <v>3</v>
      </c>
      <c r="E84" t="s">
        <v>75</v>
      </c>
      <c r="F84" t="s">
        <v>104</v>
      </c>
      <c r="G84">
        <v>23</v>
      </c>
      <c r="H84" t="s">
        <v>107</v>
      </c>
      <c r="I84" s="13">
        <v>45382</v>
      </c>
    </row>
    <row r="85" spans="1:9" x14ac:dyDescent="0.3">
      <c r="A85" s="13">
        <v>45375</v>
      </c>
      <c r="B85">
        <v>2024</v>
      </c>
      <c r="C85">
        <v>3</v>
      </c>
      <c r="D85" t="s">
        <v>3</v>
      </c>
      <c r="E85" t="s">
        <v>75</v>
      </c>
      <c r="F85" t="s">
        <v>104</v>
      </c>
      <c r="G85">
        <v>24</v>
      </c>
      <c r="H85" t="s">
        <v>107</v>
      </c>
      <c r="I85" s="13">
        <v>45382</v>
      </c>
    </row>
    <row r="86" spans="1:9" x14ac:dyDescent="0.3">
      <c r="A86" s="13">
        <v>45376</v>
      </c>
      <c r="B86">
        <v>2024</v>
      </c>
      <c r="C86">
        <v>3</v>
      </c>
      <c r="D86" t="s">
        <v>3</v>
      </c>
      <c r="E86" t="s">
        <v>75</v>
      </c>
      <c r="F86" t="s">
        <v>104</v>
      </c>
      <c r="G86">
        <v>25</v>
      </c>
      <c r="H86" t="s">
        <v>107</v>
      </c>
      <c r="I86" s="13">
        <v>45382</v>
      </c>
    </row>
    <row r="87" spans="1:9" x14ac:dyDescent="0.3">
      <c r="A87" s="13">
        <v>45377</v>
      </c>
      <c r="B87">
        <v>2024</v>
      </c>
      <c r="C87">
        <v>3</v>
      </c>
      <c r="D87" t="s">
        <v>3</v>
      </c>
      <c r="E87" t="s">
        <v>75</v>
      </c>
      <c r="F87" t="s">
        <v>104</v>
      </c>
      <c r="G87">
        <v>26</v>
      </c>
      <c r="H87" t="s">
        <v>107</v>
      </c>
      <c r="I87" s="13">
        <v>45382</v>
      </c>
    </row>
    <row r="88" spans="1:9" x14ac:dyDescent="0.3">
      <c r="A88" s="13">
        <v>45378</v>
      </c>
      <c r="B88">
        <v>2024</v>
      </c>
      <c r="C88">
        <v>3</v>
      </c>
      <c r="D88" t="s">
        <v>3</v>
      </c>
      <c r="E88" t="s">
        <v>75</v>
      </c>
      <c r="F88" t="s">
        <v>104</v>
      </c>
      <c r="G88">
        <v>27</v>
      </c>
      <c r="H88" t="s">
        <v>107</v>
      </c>
      <c r="I88" s="13">
        <v>45382</v>
      </c>
    </row>
    <row r="89" spans="1:9" x14ac:dyDescent="0.3">
      <c r="A89" s="13">
        <v>45379</v>
      </c>
      <c r="B89">
        <v>2024</v>
      </c>
      <c r="C89">
        <v>3</v>
      </c>
      <c r="D89" t="s">
        <v>3</v>
      </c>
      <c r="E89" t="s">
        <v>75</v>
      </c>
      <c r="F89" t="s">
        <v>104</v>
      </c>
      <c r="G89">
        <v>28</v>
      </c>
      <c r="H89" t="s">
        <v>107</v>
      </c>
      <c r="I89" s="13">
        <v>45382</v>
      </c>
    </row>
    <row r="90" spans="1:9" x14ac:dyDescent="0.3">
      <c r="A90" s="13">
        <v>45380</v>
      </c>
      <c r="B90">
        <v>2024</v>
      </c>
      <c r="C90">
        <v>3</v>
      </c>
      <c r="D90" t="s">
        <v>3</v>
      </c>
      <c r="E90" t="s">
        <v>75</v>
      </c>
      <c r="F90" t="s">
        <v>104</v>
      </c>
      <c r="G90">
        <v>29</v>
      </c>
      <c r="H90" t="s">
        <v>107</v>
      </c>
      <c r="I90" s="13">
        <v>45382</v>
      </c>
    </row>
    <row r="91" spans="1:9" x14ac:dyDescent="0.3">
      <c r="A91" s="13">
        <v>45381</v>
      </c>
      <c r="B91">
        <v>2024</v>
      </c>
      <c r="C91">
        <v>3</v>
      </c>
      <c r="D91" t="s">
        <v>3</v>
      </c>
      <c r="E91" t="s">
        <v>75</v>
      </c>
      <c r="F91" t="s">
        <v>104</v>
      </c>
      <c r="G91">
        <v>30</v>
      </c>
      <c r="H91" t="s">
        <v>107</v>
      </c>
      <c r="I91" s="13">
        <v>45382</v>
      </c>
    </row>
    <row r="92" spans="1:9" x14ac:dyDescent="0.3">
      <c r="A92" s="13">
        <v>45382</v>
      </c>
      <c r="B92">
        <v>2024</v>
      </c>
      <c r="C92">
        <v>3</v>
      </c>
      <c r="D92" t="s">
        <v>3</v>
      </c>
      <c r="E92" t="s">
        <v>75</v>
      </c>
      <c r="F92" t="s">
        <v>104</v>
      </c>
      <c r="G92">
        <v>31</v>
      </c>
      <c r="H92" t="s">
        <v>107</v>
      </c>
      <c r="I92" s="13">
        <v>45382</v>
      </c>
    </row>
    <row r="93" spans="1:9" x14ac:dyDescent="0.3">
      <c r="A93" s="13">
        <v>45383</v>
      </c>
      <c r="B93">
        <v>2024</v>
      </c>
      <c r="C93">
        <v>4</v>
      </c>
      <c r="D93" t="s">
        <v>4</v>
      </c>
      <c r="E93" t="s">
        <v>76</v>
      </c>
      <c r="F93" t="s">
        <v>108</v>
      </c>
      <c r="G93">
        <v>1</v>
      </c>
      <c r="H93" t="s">
        <v>109</v>
      </c>
      <c r="I93" s="13">
        <v>45412</v>
      </c>
    </row>
    <row r="94" spans="1:9" x14ac:dyDescent="0.3">
      <c r="A94" s="13">
        <v>45384</v>
      </c>
      <c r="B94">
        <v>2024</v>
      </c>
      <c r="C94">
        <v>4</v>
      </c>
      <c r="D94" t="s">
        <v>4</v>
      </c>
      <c r="E94" t="s">
        <v>76</v>
      </c>
      <c r="F94" t="s">
        <v>108</v>
      </c>
      <c r="G94">
        <v>2</v>
      </c>
      <c r="H94" t="s">
        <v>109</v>
      </c>
      <c r="I94" s="13">
        <v>45412</v>
      </c>
    </row>
    <row r="95" spans="1:9" x14ac:dyDescent="0.3">
      <c r="A95" s="13">
        <v>45385</v>
      </c>
      <c r="B95">
        <v>2024</v>
      </c>
      <c r="C95">
        <v>4</v>
      </c>
      <c r="D95" t="s">
        <v>4</v>
      </c>
      <c r="E95" t="s">
        <v>76</v>
      </c>
      <c r="F95" t="s">
        <v>108</v>
      </c>
      <c r="G95">
        <v>3</v>
      </c>
      <c r="H95" t="s">
        <v>109</v>
      </c>
      <c r="I95" s="13">
        <v>45412</v>
      </c>
    </row>
    <row r="96" spans="1:9" x14ac:dyDescent="0.3">
      <c r="A96" s="13">
        <v>45386</v>
      </c>
      <c r="B96">
        <v>2024</v>
      </c>
      <c r="C96">
        <v>4</v>
      </c>
      <c r="D96" t="s">
        <v>4</v>
      </c>
      <c r="E96" t="s">
        <v>76</v>
      </c>
      <c r="F96" t="s">
        <v>108</v>
      </c>
      <c r="G96">
        <v>4</v>
      </c>
      <c r="H96" t="s">
        <v>109</v>
      </c>
      <c r="I96" s="13">
        <v>45412</v>
      </c>
    </row>
    <row r="97" spans="1:9" x14ac:dyDescent="0.3">
      <c r="A97" s="13">
        <v>45387</v>
      </c>
      <c r="B97">
        <v>2024</v>
      </c>
      <c r="C97">
        <v>4</v>
      </c>
      <c r="D97" t="s">
        <v>4</v>
      </c>
      <c r="E97" t="s">
        <v>76</v>
      </c>
      <c r="F97" t="s">
        <v>108</v>
      </c>
      <c r="G97">
        <v>5</v>
      </c>
      <c r="H97" t="s">
        <v>109</v>
      </c>
      <c r="I97" s="13">
        <v>45412</v>
      </c>
    </row>
    <row r="98" spans="1:9" x14ac:dyDescent="0.3">
      <c r="A98" s="13">
        <v>45388</v>
      </c>
      <c r="B98">
        <v>2024</v>
      </c>
      <c r="C98">
        <v>4</v>
      </c>
      <c r="D98" t="s">
        <v>4</v>
      </c>
      <c r="E98" t="s">
        <v>76</v>
      </c>
      <c r="F98" t="s">
        <v>108</v>
      </c>
      <c r="G98">
        <v>6</v>
      </c>
      <c r="H98" t="s">
        <v>109</v>
      </c>
      <c r="I98" s="13">
        <v>45412</v>
      </c>
    </row>
    <row r="99" spans="1:9" x14ac:dyDescent="0.3">
      <c r="A99" s="13">
        <v>45389</v>
      </c>
      <c r="B99">
        <v>2024</v>
      </c>
      <c r="C99">
        <v>4</v>
      </c>
      <c r="D99" t="s">
        <v>4</v>
      </c>
      <c r="E99" t="s">
        <v>76</v>
      </c>
      <c r="F99" t="s">
        <v>108</v>
      </c>
      <c r="G99">
        <v>7</v>
      </c>
      <c r="H99" t="s">
        <v>109</v>
      </c>
      <c r="I99" s="13">
        <v>45412</v>
      </c>
    </row>
    <row r="100" spans="1:9" x14ac:dyDescent="0.3">
      <c r="A100" s="13">
        <v>45390</v>
      </c>
      <c r="B100">
        <v>2024</v>
      </c>
      <c r="C100">
        <v>4</v>
      </c>
      <c r="D100" t="s">
        <v>4</v>
      </c>
      <c r="E100" t="s">
        <v>76</v>
      </c>
      <c r="F100" t="s">
        <v>108</v>
      </c>
      <c r="G100">
        <v>8</v>
      </c>
      <c r="H100" t="s">
        <v>109</v>
      </c>
      <c r="I100" s="13">
        <v>45412</v>
      </c>
    </row>
    <row r="101" spans="1:9" x14ac:dyDescent="0.3">
      <c r="A101" s="13">
        <v>45391</v>
      </c>
      <c r="B101">
        <v>2024</v>
      </c>
      <c r="C101">
        <v>4</v>
      </c>
      <c r="D101" t="s">
        <v>4</v>
      </c>
      <c r="E101" t="s">
        <v>76</v>
      </c>
      <c r="F101" t="s">
        <v>108</v>
      </c>
      <c r="G101">
        <v>9</v>
      </c>
      <c r="H101" t="s">
        <v>109</v>
      </c>
      <c r="I101" s="13">
        <v>45412</v>
      </c>
    </row>
    <row r="102" spans="1:9" x14ac:dyDescent="0.3">
      <c r="A102" s="13">
        <v>45392</v>
      </c>
      <c r="B102">
        <v>2024</v>
      </c>
      <c r="C102">
        <v>4</v>
      </c>
      <c r="D102" t="s">
        <v>4</v>
      </c>
      <c r="E102" t="s">
        <v>76</v>
      </c>
      <c r="F102" t="s">
        <v>108</v>
      </c>
      <c r="G102">
        <v>10</v>
      </c>
      <c r="H102" t="s">
        <v>109</v>
      </c>
      <c r="I102" s="13">
        <v>45412</v>
      </c>
    </row>
    <row r="103" spans="1:9" x14ac:dyDescent="0.3">
      <c r="A103" s="13">
        <v>45393</v>
      </c>
      <c r="B103">
        <v>2024</v>
      </c>
      <c r="C103">
        <v>4</v>
      </c>
      <c r="D103" t="s">
        <v>4</v>
      </c>
      <c r="E103" t="s">
        <v>76</v>
      </c>
      <c r="F103" t="s">
        <v>108</v>
      </c>
      <c r="G103">
        <v>11</v>
      </c>
      <c r="H103" t="s">
        <v>109</v>
      </c>
      <c r="I103" s="13">
        <v>45412</v>
      </c>
    </row>
    <row r="104" spans="1:9" x14ac:dyDescent="0.3">
      <c r="A104" s="13">
        <v>45394</v>
      </c>
      <c r="B104">
        <v>2024</v>
      </c>
      <c r="C104">
        <v>4</v>
      </c>
      <c r="D104" t="s">
        <v>4</v>
      </c>
      <c r="E104" t="s">
        <v>76</v>
      </c>
      <c r="F104" t="s">
        <v>108</v>
      </c>
      <c r="G104">
        <v>12</v>
      </c>
      <c r="H104" t="s">
        <v>109</v>
      </c>
      <c r="I104" s="13">
        <v>45412</v>
      </c>
    </row>
    <row r="105" spans="1:9" x14ac:dyDescent="0.3">
      <c r="A105" s="13">
        <v>45395</v>
      </c>
      <c r="B105">
        <v>2024</v>
      </c>
      <c r="C105">
        <v>4</v>
      </c>
      <c r="D105" t="s">
        <v>4</v>
      </c>
      <c r="E105" t="s">
        <v>76</v>
      </c>
      <c r="F105" t="s">
        <v>108</v>
      </c>
      <c r="G105">
        <v>13</v>
      </c>
      <c r="H105" t="s">
        <v>109</v>
      </c>
      <c r="I105" s="13">
        <v>45412</v>
      </c>
    </row>
    <row r="106" spans="1:9" x14ac:dyDescent="0.3">
      <c r="A106" s="13">
        <v>45396</v>
      </c>
      <c r="B106">
        <v>2024</v>
      </c>
      <c r="C106">
        <v>4</v>
      </c>
      <c r="D106" t="s">
        <v>4</v>
      </c>
      <c r="E106" t="s">
        <v>76</v>
      </c>
      <c r="F106" t="s">
        <v>108</v>
      </c>
      <c r="G106">
        <v>14</v>
      </c>
      <c r="H106" t="s">
        <v>109</v>
      </c>
      <c r="I106" s="13">
        <v>45412</v>
      </c>
    </row>
    <row r="107" spans="1:9" x14ac:dyDescent="0.3">
      <c r="A107" s="13">
        <v>45397</v>
      </c>
      <c r="B107">
        <v>2024</v>
      </c>
      <c r="C107">
        <v>4</v>
      </c>
      <c r="D107" t="s">
        <v>4</v>
      </c>
      <c r="E107" t="s">
        <v>76</v>
      </c>
      <c r="F107" t="s">
        <v>108</v>
      </c>
      <c r="G107">
        <v>15</v>
      </c>
      <c r="H107" t="s">
        <v>109</v>
      </c>
      <c r="I107" s="13">
        <v>45412</v>
      </c>
    </row>
    <row r="108" spans="1:9" x14ac:dyDescent="0.3">
      <c r="A108" s="13">
        <v>45398</v>
      </c>
      <c r="B108">
        <v>2024</v>
      </c>
      <c r="C108">
        <v>4</v>
      </c>
      <c r="D108" t="s">
        <v>4</v>
      </c>
      <c r="E108" t="s">
        <v>76</v>
      </c>
      <c r="F108" t="s">
        <v>108</v>
      </c>
      <c r="G108">
        <v>16</v>
      </c>
      <c r="H108" t="s">
        <v>109</v>
      </c>
      <c r="I108" s="13">
        <v>45412</v>
      </c>
    </row>
    <row r="109" spans="1:9" x14ac:dyDescent="0.3">
      <c r="A109" s="13">
        <v>45399</v>
      </c>
      <c r="B109">
        <v>2024</v>
      </c>
      <c r="C109">
        <v>4</v>
      </c>
      <c r="D109" t="s">
        <v>4</v>
      </c>
      <c r="E109" t="s">
        <v>76</v>
      </c>
      <c r="F109" t="s">
        <v>108</v>
      </c>
      <c r="G109">
        <v>17</v>
      </c>
      <c r="H109" t="s">
        <v>109</v>
      </c>
      <c r="I109" s="13">
        <v>45412</v>
      </c>
    </row>
    <row r="110" spans="1:9" x14ac:dyDescent="0.3">
      <c r="A110" s="13">
        <v>45400</v>
      </c>
      <c r="B110">
        <v>2024</v>
      </c>
      <c r="C110">
        <v>4</v>
      </c>
      <c r="D110" t="s">
        <v>4</v>
      </c>
      <c r="E110" t="s">
        <v>76</v>
      </c>
      <c r="F110" t="s">
        <v>108</v>
      </c>
      <c r="G110">
        <v>18</v>
      </c>
      <c r="H110" t="s">
        <v>109</v>
      </c>
      <c r="I110" s="13">
        <v>45412</v>
      </c>
    </row>
    <row r="111" spans="1:9" x14ac:dyDescent="0.3">
      <c r="A111" s="13">
        <v>45401</v>
      </c>
      <c r="B111">
        <v>2024</v>
      </c>
      <c r="C111">
        <v>4</v>
      </c>
      <c r="D111" t="s">
        <v>4</v>
      </c>
      <c r="E111" t="s">
        <v>76</v>
      </c>
      <c r="F111" t="s">
        <v>108</v>
      </c>
      <c r="G111">
        <v>19</v>
      </c>
      <c r="H111" t="s">
        <v>109</v>
      </c>
      <c r="I111" s="13">
        <v>45412</v>
      </c>
    </row>
    <row r="112" spans="1:9" x14ac:dyDescent="0.3">
      <c r="A112" s="13">
        <v>45402</v>
      </c>
      <c r="B112">
        <v>2024</v>
      </c>
      <c r="C112">
        <v>4</v>
      </c>
      <c r="D112" t="s">
        <v>4</v>
      </c>
      <c r="E112" t="s">
        <v>76</v>
      </c>
      <c r="F112" t="s">
        <v>108</v>
      </c>
      <c r="G112">
        <v>20</v>
      </c>
      <c r="H112" t="s">
        <v>109</v>
      </c>
      <c r="I112" s="13">
        <v>45412</v>
      </c>
    </row>
    <row r="113" spans="1:9" x14ac:dyDescent="0.3">
      <c r="A113" s="13">
        <v>45403</v>
      </c>
      <c r="B113">
        <v>2024</v>
      </c>
      <c r="C113">
        <v>4</v>
      </c>
      <c r="D113" t="s">
        <v>4</v>
      </c>
      <c r="E113" t="s">
        <v>76</v>
      </c>
      <c r="F113" t="s">
        <v>108</v>
      </c>
      <c r="G113">
        <v>21</v>
      </c>
      <c r="H113" t="s">
        <v>109</v>
      </c>
      <c r="I113" s="13">
        <v>45412</v>
      </c>
    </row>
    <row r="114" spans="1:9" x14ac:dyDescent="0.3">
      <c r="A114" s="13">
        <v>45404</v>
      </c>
      <c r="B114">
        <v>2024</v>
      </c>
      <c r="C114">
        <v>4</v>
      </c>
      <c r="D114" t="s">
        <v>4</v>
      </c>
      <c r="E114" t="s">
        <v>76</v>
      </c>
      <c r="F114" t="s">
        <v>108</v>
      </c>
      <c r="G114">
        <v>22</v>
      </c>
      <c r="H114" t="s">
        <v>109</v>
      </c>
      <c r="I114" s="13">
        <v>45412</v>
      </c>
    </row>
    <row r="115" spans="1:9" x14ac:dyDescent="0.3">
      <c r="A115" s="13">
        <v>45405</v>
      </c>
      <c r="B115">
        <v>2024</v>
      </c>
      <c r="C115">
        <v>4</v>
      </c>
      <c r="D115" t="s">
        <v>4</v>
      </c>
      <c r="E115" t="s">
        <v>76</v>
      </c>
      <c r="F115" t="s">
        <v>108</v>
      </c>
      <c r="G115">
        <v>23</v>
      </c>
      <c r="H115" t="s">
        <v>109</v>
      </c>
      <c r="I115" s="13">
        <v>45412</v>
      </c>
    </row>
    <row r="116" spans="1:9" x14ac:dyDescent="0.3">
      <c r="A116" s="13">
        <v>45406</v>
      </c>
      <c r="B116">
        <v>2024</v>
      </c>
      <c r="C116">
        <v>4</v>
      </c>
      <c r="D116" t="s">
        <v>4</v>
      </c>
      <c r="E116" t="s">
        <v>76</v>
      </c>
      <c r="F116" t="s">
        <v>108</v>
      </c>
      <c r="G116">
        <v>24</v>
      </c>
      <c r="H116" t="s">
        <v>109</v>
      </c>
      <c r="I116" s="13">
        <v>45412</v>
      </c>
    </row>
    <row r="117" spans="1:9" x14ac:dyDescent="0.3">
      <c r="A117" s="13">
        <v>45407</v>
      </c>
      <c r="B117">
        <v>2024</v>
      </c>
      <c r="C117">
        <v>4</v>
      </c>
      <c r="D117" t="s">
        <v>4</v>
      </c>
      <c r="E117" t="s">
        <v>76</v>
      </c>
      <c r="F117" t="s">
        <v>108</v>
      </c>
      <c r="G117">
        <v>25</v>
      </c>
      <c r="H117" t="s">
        <v>109</v>
      </c>
      <c r="I117" s="13">
        <v>45412</v>
      </c>
    </row>
    <row r="118" spans="1:9" x14ac:dyDescent="0.3">
      <c r="A118" s="13">
        <v>45408</v>
      </c>
      <c r="B118">
        <v>2024</v>
      </c>
      <c r="C118">
        <v>4</v>
      </c>
      <c r="D118" t="s">
        <v>4</v>
      </c>
      <c r="E118" t="s">
        <v>76</v>
      </c>
      <c r="F118" t="s">
        <v>108</v>
      </c>
      <c r="G118">
        <v>26</v>
      </c>
      <c r="H118" t="s">
        <v>109</v>
      </c>
      <c r="I118" s="13">
        <v>45412</v>
      </c>
    </row>
    <row r="119" spans="1:9" x14ac:dyDescent="0.3">
      <c r="A119" s="13">
        <v>45409</v>
      </c>
      <c r="B119">
        <v>2024</v>
      </c>
      <c r="C119">
        <v>4</v>
      </c>
      <c r="D119" t="s">
        <v>4</v>
      </c>
      <c r="E119" t="s">
        <v>76</v>
      </c>
      <c r="F119" t="s">
        <v>108</v>
      </c>
      <c r="G119">
        <v>27</v>
      </c>
      <c r="H119" t="s">
        <v>109</v>
      </c>
      <c r="I119" s="13">
        <v>45412</v>
      </c>
    </row>
    <row r="120" spans="1:9" x14ac:dyDescent="0.3">
      <c r="A120" s="13">
        <v>45410</v>
      </c>
      <c r="B120">
        <v>2024</v>
      </c>
      <c r="C120">
        <v>4</v>
      </c>
      <c r="D120" t="s">
        <v>4</v>
      </c>
      <c r="E120" t="s">
        <v>76</v>
      </c>
      <c r="F120" t="s">
        <v>108</v>
      </c>
      <c r="G120">
        <v>28</v>
      </c>
      <c r="H120" t="s">
        <v>109</v>
      </c>
      <c r="I120" s="13">
        <v>45412</v>
      </c>
    </row>
    <row r="121" spans="1:9" x14ac:dyDescent="0.3">
      <c r="A121" s="13">
        <v>45411</v>
      </c>
      <c r="B121">
        <v>2024</v>
      </c>
      <c r="C121">
        <v>4</v>
      </c>
      <c r="D121" t="s">
        <v>4</v>
      </c>
      <c r="E121" t="s">
        <v>76</v>
      </c>
      <c r="F121" t="s">
        <v>108</v>
      </c>
      <c r="G121">
        <v>29</v>
      </c>
      <c r="H121" t="s">
        <v>109</v>
      </c>
      <c r="I121" s="13">
        <v>45412</v>
      </c>
    </row>
    <row r="122" spans="1:9" x14ac:dyDescent="0.3">
      <c r="A122" s="13">
        <v>45412</v>
      </c>
      <c r="B122">
        <v>2024</v>
      </c>
      <c r="C122">
        <v>4</v>
      </c>
      <c r="D122" t="s">
        <v>4</v>
      </c>
      <c r="E122" t="s">
        <v>76</v>
      </c>
      <c r="F122" t="s">
        <v>108</v>
      </c>
      <c r="G122">
        <v>30</v>
      </c>
      <c r="H122" t="s">
        <v>109</v>
      </c>
      <c r="I122" s="13">
        <v>45412</v>
      </c>
    </row>
    <row r="123" spans="1:9" x14ac:dyDescent="0.3">
      <c r="A123" s="13">
        <v>45413</v>
      </c>
      <c r="B123">
        <v>2024</v>
      </c>
      <c r="C123">
        <v>5</v>
      </c>
      <c r="D123" t="s">
        <v>5</v>
      </c>
      <c r="E123" t="s">
        <v>77</v>
      </c>
      <c r="F123" t="s">
        <v>108</v>
      </c>
      <c r="G123">
        <v>1</v>
      </c>
      <c r="H123" t="s">
        <v>5</v>
      </c>
      <c r="I123" s="13">
        <v>45443</v>
      </c>
    </row>
    <row r="124" spans="1:9" x14ac:dyDescent="0.3">
      <c r="A124" s="13">
        <v>45414</v>
      </c>
      <c r="B124">
        <v>2024</v>
      </c>
      <c r="C124">
        <v>5</v>
      </c>
      <c r="D124" t="s">
        <v>5</v>
      </c>
      <c r="E124" t="s">
        <v>77</v>
      </c>
      <c r="F124" t="s">
        <v>108</v>
      </c>
      <c r="G124">
        <v>2</v>
      </c>
      <c r="H124" t="s">
        <v>5</v>
      </c>
      <c r="I124" s="13">
        <v>45443</v>
      </c>
    </row>
    <row r="125" spans="1:9" x14ac:dyDescent="0.3">
      <c r="A125" s="13">
        <v>45415</v>
      </c>
      <c r="B125">
        <v>2024</v>
      </c>
      <c r="C125">
        <v>5</v>
      </c>
      <c r="D125" t="s">
        <v>5</v>
      </c>
      <c r="E125" t="s">
        <v>77</v>
      </c>
      <c r="F125" t="s">
        <v>108</v>
      </c>
      <c r="G125">
        <v>3</v>
      </c>
      <c r="H125" t="s">
        <v>5</v>
      </c>
      <c r="I125" s="13">
        <v>45443</v>
      </c>
    </row>
    <row r="126" spans="1:9" x14ac:dyDescent="0.3">
      <c r="A126" s="13">
        <v>45416</v>
      </c>
      <c r="B126">
        <v>2024</v>
      </c>
      <c r="C126">
        <v>5</v>
      </c>
      <c r="D126" t="s">
        <v>5</v>
      </c>
      <c r="E126" t="s">
        <v>77</v>
      </c>
      <c r="F126" t="s">
        <v>108</v>
      </c>
      <c r="G126">
        <v>4</v>
      </c>
      <c r="H126" t="s">
        <v>5</v>
      </c>
      <c r="I126" s="13">
        <v>45443</v>
      </c>
    </row>
    <row r="127" spans="1:9" x14ac:dyDescent="0.3">
      <c r="A127" s="13">
        <v>45417</v>
      </c>
      <c r="B127">
        <v>2024</v>
      </c>
      <c r="C127">
        <v>5</v>
      </c>
      <c r="D127" t="s">
        <v>5</v>
      </c>
      <c r="E127" t="s">
        <v>77</v>
      </c>
      <c r="F127" t="s">
        <v>108</v>
      </c>
      <c r="G127">
        <v>5</v>
      </c>
      <c r="H127" t="s">
        <v>5</v>
      </c>
      <c r="I127" s="13">
        <v>45443</v>
      </c>
    </row>
    <row r="128" spans="1:9" x14ac:dyDescent="0.3">
      <c r="A128" s="13">
        <v>45418</v>
      </c>
      <c r="B128">
        <v>2024</v>
      </c>
      <c r="C128">
        <v>5</v>
      </c>
      <c r="D128" t="s">
        <v>5</v>
      </c>
      <c r="E128" t="s">
        <v>77</v>
      </c>
      <c r="F128" t="s">
        <v>108</v>
      </c>
      <c r="G128">
        <v>6</v>
      </c>
      <c r="H128" t="s">
        <v>5</v>
      </c>
      <c r="I128" s="13">
        <v>45443</v>
      </c>
    </row>
    <row r="129" spans="1:9" x14ac:dyDescent="0.3">
      <c r="A129" s="13">
        <v>45419</v>
      </c>
      <c r="B129">
        <v>2024</v>
      </c>
      <c r="C129">
        <v>5</v>
      </c>
      <c r="D129" t="s">
        <v>5</v>
      </c>
      <c r="E129" t="s">
        <v>77</v>
      </c>
      <c r="F129" t="s">
        <v>108</v>
      </c>
      <c r="G129">
        <v>7</v>
      </c>
      <c r="H129" t="s">
        <v>5</v>
      </c>
      <c r="I129" s="13">
        <v>45443</v>
      </c>
    </row>
    <row r="130" spans="1:9" x14ac:dyDescent="0.3">
      <c r="A130" s="13">
        <v>45420</v>
      </c>
      <c r="B130">
        <v>2024</v>
      </c>
      <c r="C130">
        <v>5</v>
      </c>
      <c r="D130" t="s">
        <v>5</v>
      </c>
      <c r="E130" t="s">
        <v>77</v>
      </c>
      <c r="F130" t="s">
        <v>108</v>
      </c>
      <c r="G130">
        <v>8</v>
      </c>
      <c r="H130" t="s">
        <v>5</v>
      </c>
      <c r="I130" s="13">
        <v>45443</v>
      </c>
    </row>
    <row r="131" spans="1:9" x14ac:dyDescent="0.3">
      <c r="A131" s="13">
        <v>45421</v>
      </c>
      <c r="B131">
        <v>2024</v>
      </c>
      <c r="C131">
        <v>5</v>
      </c>
      <c r="D131" t="s">
        <v>5</v>
      </c>
      <c r="E131" t="s">
        <v>77</v>
      </c>
      <c r="F131" t="s">
        <v>108</v>
      </c>
      <c r="G131">
        <v>9</v>
      </c>
      <c r="H131" t="s">
        <v>5</v>
      </c>
      <c r="I131" s="13">
        <v>45443</v>
      </c>
    </row>
    <row r="132" spans="1:9" x14ac:dyDescent="0.3">
      <c r="A132" s="13">
        <v>45422</v>
      </c>
      <c r="B132">
        <v>2024</v>
      </c>
      <c r="C132">
        <v>5</v>
      </c>
      <c r="D132" t="s">
        <v>5</v>
      </c>
      <c r="E132" t="s">
        <v>77</v>
      </c>
      <c r="F132" t="s">
        <v>108</v>
      </c>
      <c r="G132">
        <v>10</v>
      </c>
      <c r="H132" t="s">
        <v>5</v>
      </c>
      <c r="I132" s="13">
        <v>45443</v>
      </c>
    </row>
    <row r="133" spans="1:9" x14ac:dyDescent="0.3">
      <c r="A133" s="13">
        <v>45423</v>
      </c>
      <c r="B133">
        <v>2024</v>
      </c>
      <c r="C133">
        <v>5</v>
      </c>
      <c r="D133" t="s">
        <v>5</v>
      </c>
      <c r="E133" t="s">
        <v>77</v>
      </c>
      <c r="F133" t="s">
        <v>108</v>
      </c>
      <c r="G133">
        <v>11</v>
      </c>
      <c r="H133" t="s">
        <v>5</v>
      </c>
      <c r="I133" s="13">
        <v>45443</v>
      </c>
    </row>
    <row r="134" spans="1:9" x14ac:dyDescent="0.3">
      <c r="A134" s="13">
        <v>45424</v>
      </c>
      <c r="B134">
        <v>2024</v>
      </c>
      <c r="C134">
        <v>5</v>
      </c>
      <c r="D134" t="s">
        <v>5</v>
      </c>
      <c r="E134" t="s">
        <v>77</v>
      </c>
      <c r="F134" t="s">
        <v>108</v>
      </c>
      <c r="G134">
        <v>12</v>
      </c>
      <c r="H134" t="s">
        <v>5</v>
      </c>
      <c r="I134" s="13">
        <v>45443</v>
      </c>
    </row>
    <row r="135" spans="1:9" x14ac:dyDescent="0.3">
      <c r="A135" s="13">
        <v>45425</v>
      </c>
      <c r="B135">
        <v>2024</v>
      </c>
      <c r="C135">
        <v>5</v>
      </c>
      <c r="D135" t="s">
        <v>5</v>
      </c>
      <c r="E135" t="s">
        <v>77</v>
      </c>
      <c r="F135" t="s">
        <v>108</v>
      </c>
      <c r="G135">
        <v>13</v>
      </c>
      <c r="H135" t="s">
        <v>5</v>
      </c>
      <c r="I135" s="13">
        <v>45443</v>
      </c>
    </row>
    <row r="136" spans="1:9" x14ac:dyDescent="0.3">
      <c r="A136" s="13">
        <v>45426</v>
      </c>
      <c r="B136">
        <v>2024</v>
      </c>
      <c r="C136">
        <v>5</v>
      </c>
      <c r="D136" t="s">
        <v>5</v>
      </c>
      <c r="E136" t="s">
        <v>77</v>
      </c>
      <c r="F136" t="s">
        <v>108</v>
      </c>
      <c r="G136">
        <v>14</v>
      </c>
      <c r="H136" t="s">
        <v>5</v>
      </c>
      <c r="I136" s="13">
        <v>45443</v>
      </c>
    </row>
    <row r="137" spans="1:9" x14ac:dyDescent="0.3">
      <c r="A137" s="13">
        <v>45427</v>
      </c>
      <c r="B137">
        <v>2024</v>
      </c>
      <c r="C137">
        <v>5</v>
      </c>
      <c r="D137" t="s">
        <v>5</v>
      </c>
      <c r="E137" t="s">
        <v>77</v>
      </c>
      <c r="F137" t="s">
        <v>108</v>
      </c>
      <c r="G137">
        <v>15</v>
      </c>
      <c r="H137" t="s">
        <v>5</v>
      </c>
      <c r="I137" s="13">
        <v>45443</v>
      </c>
    </row>
    <row r="138" spans="1:9" x14ac:dyDescent="0.3">
      <c r="A138" s="13">
        <v>45428</v>
      </c>
      <c r="B138">
        <v>2024</v>
      </c>
      <c r="C138">
        <v>5</v>
      </c>
      <c r="D138" t="s">
        <v>5</v>
      </c>
      <c r="E138" t="s">
        <v>77</v>
      </c>
      <c r="F138" t="s">
        <v>108</v>
      </c>
      <c r="G138">
        <v>16</v>
      </c>
      <c r="H138" t="s">
        <v>5</v>
      </c>
      <c r="I138" s="13">
        <v>45443</v>
      </c>
    </row>
    <row r="139" spans="1:9" x14ac:dyDescent="0.3">
      <c r="A139" s="13">
        <v>45429</v>
      </c>
      <c r="B139">
        <v>2024</v>
      </c>
      <c r="C139">
        <v>5</v>
      </c>
      <c r="D139" t="s">
        <v>5</v>
      </c>
      <c r="E139" t="s">
        <v>77</v>
      </c>
      <c r="F139" t="s">
        <v>108</v>
      </c>
      <c r="G139">
        <v>17</v>
      </c>
      <c r="H139" t="s">
        <v>5</v>
      </c>
      <c r="I139" s="13">
        <v>45443</v>
      </c>
    </row>
    <row r="140" spans="1:9" x14ac:dyDescent="0.3">
      <c r="A140" s="13">
        <v>45430</v>
      </c>
      <c r="B140">
        <v>2024</v>
      </c>
      <c r="C140">
        <v>5</v>
      </c>
      <c r="D140" t="s">
        <v>5</v>
      </c>
      <c r="E140" t="s">
        <v>77</v>
      </c>
      <c r="F140" t="s">
        <v>108</v>
      </c>
      <c r="G140">
        <v>18</v>
      </c>
      <c r="H140" t="s">
        <v>5</v>
      </c>
      <c r="I140" s="13">
        <v>45443</v>
      </c>
    </row>
    <row r="141" spans="1:9" x14ac:dyDescent="0.3">
      <c r="A141" s="13">
        <v>45431</v>
      </c>
      <c r="B141">
        <v>2024</v>
      </c>
      <c r="C141">
        <v>5</v>
      </c>
      <c r="D141" t="s">
        <v>5</v>
      </c>
      <c r="E141" t="s">
        <v>77</v>
      </c>
      <c r="F141" t="s">
        <v>108</v>
      </c>
      <c r="G141">
        <v>19</v>
      </c>
      <c r="H141" t="s">
        <v>5</v>
      </c>
      <c r="I141" s="13">
        <v>45443</v>
      </c>
    </row>
    <row r="142" spans="1:9" x14ac:dyDescent="0.3">
      <c r="A142" s="13">
        <v>45432</v>
      </c>
      <c r="B142">
        <v>2024</v>
      </c>
      <c r="C142">
        <v>5</v>
      </c>
      <c r="D142" t="s">
        <v>5</v>
      </c>
      <c r="E142" t="s">
        <v>77</v>
      </c>
      <c r="F142" t="s">
        <v>108</v>
      </c>
      <c r="G142">
        <v>20</v>
      </c>
      <c r="H142" t="s">
        <v>5</v>
      </c>
      <c r="I142" s="13">
        <v>45443</v>
      </c>
    </row>
    <row r="143" spans="1:9" x14ac:dyDescent="0.3">
      <c r="A143" s="13">
        <v>45433</v>
      </c>
      <c r="B143">
        <v>2024</v>
      </c>
      <c r="C143">
        <v>5</v>
      </c>
      <c r="D143" t="s">
        <v>5</v>
      </c>
      <c r="E143" t="s">
        <v>77</v>
      </c>
      <c r="F143" t="s">
        <v>108</v>
      </c>
      <c r="G143">
        <v>21</v>
      </c>
      <c r="H143" t="s">
        <v>5</v>
      </c>
      <c r="I143" s="13">
        <v>45443</v>
      </c>
    </row>
    <row r="144" spans="1:9" x14ac:dyDescent="0.3">
      <c r="A144" s="13">
        <v>45434</v>
      </c>
      <c r="B144">
        <v>2024</v>
      </c>
      <c r="C144">
        <v>5</v>
      </c>
      <c r="D144" t="s">
        <v>5</v>
      </c>
      <c r="E144" t="s">
        <v>77</v>
      </c>
      <c r="F144" t="s">
        <v>108</v>
      </c>
      <c r="G144">
        <v>22</v>
      </c>
      <c r="H144" t="s">
        <v>5</v>
      </c>
      <c r="I144" s="13">
        <v>45443</v>
      </c>
    </row>
    <row r="145" spans="1:9" x14ac:dyDescent="0.3">
      <c r="A145" s="13">
        <v>45435</v>
      </c>
      <c r="B145">
        <v>2024</v>
      </c>
      <c r="C145">
        <v>5</v>
      </c>
      <c r="D145" t="s">
        <v>5</v>
      </c>
      <c r="E145" t="s">
        <v>77</v>
      </c>
      <c r="F145" t="s">
        <v>108</v>
      </c>
      <c r="G145">
        <v>23</v>
      </c>
      <c r="H145" t="s">
        <v>5</v>
      </c>
      <c r="I145" s="13">
        <v>45443</v>
      </c>
    </row>
    <row r="146" spans="1:9" x14ac:dyDescent="0.3">
      <c r="A146" s="13">
        <v>45436</v>
      </c>
      <c r="B146">
        <v>2024</v>
      </c>
      <c r="C146">
        <v>5</v>
      </c>
      <c r="D146" t="s">
        <v>5</v>
      </c>
      <c r="E146" t="s">
        <v>77</v>
      </c>
      <c r="F146" t="s">
        <v>108</v>
      </c>
      <c r="G146">
        <v>24</v>
      </c>
      <c r="H146" t="s">
        <v>5</v>
      </c>
      <c r="I146" s="13">
        <v>45443</v>
      </c>
    </row>
    <row r="147" spans="1:9" x14ac:dyDescent="0.3">
      <c r="A147" s="13">
        <v>45437</v>
      </c>
      <c r="B147">
        <v>2024</v>
      </c>
      <c r="C147">
        <v>5</v>
      </c>
      <c r="D147" t="s">
        <v>5</v>
      </c>
      <c r="E147" t="s">
        <v>77</v>
      </c>
      <c r="F147" t="s">
        <v>108</v>
      </c>
      <c r="G147">
        <v>25</v>
      </c>
      <c r="H147" t="s">
        <v>5</v>
      </c>
      <c r="I147" s="13">
        <v>45443</v>
      </c>
    </row>
    <row r="148" spans="1:9" x14ac:dyDescent="0.3">
      <c r="A148" s="13">
        <v>45438</v>
      </c>
      <c r="B148">
        <v>2024</v>
      </c>
      <c r="C148">
        <v>5</v>
      </c>
      <c r="D148" t="s">
        <v>5</v>
      </c>
      <c r="E148" t="s">
        <v>77</v>
      </c>
      <c r="F148" t="s">
        <v>108</v>
      </c>
      <c r="G148">
        <v>26</v>
      </c>
      <c r="H148" t="s">
        <v>5</v>
      </c>
      <c r="I148" s="13">
        <v>45443</v>
      </c>
    </row>
    <row r="149" spans="1:9" x14ac:dyDescent="0.3">
      <c r="A149" s="13">
        <v>45439</v>
      </c>
      <c r="B149">
        <v>2024</v>
      </c>
      <c r="C149">
        <v>5</v>
      </c>
      <c r="D149" t="s">
        <v>5</v>
      </c>
      <c r="E149" t="s">
        <v>77</v>
      </c>
      <c r="F149" t="s">
        <v>108</v>
      </c>
      <c r="G149">
        <v>27</v>
      </c>
      <c r="H149" t="s">
        <v>5</v>
      </c>
      <c r="I149" s="13">
        <v>45443</v>
      </c>
    </row>
    <row r="150" spans="1:9" x14ac:dyDescent="0.3">
      <c r="A150" s="13">
        <v>45440</v>
      </c>
      <c r="B150">
        <v>2024</v>
      </c>
      <c r="C150">
        <v>5</v>
      </c>
      <c r="D150" t="s">
        <v>5</v>
      </c>
      <c r="E150" t="s">
        <v>77</v>
      </c>
      <c r="F150" t="s">
        <v>108</v>
      </c>
      <c r="G150">
        <v>28</v>
      </c>
      <c r="H150" t="s">
        <v>5</v>
      </c>
      <c r="I150" s="13">
        <v>45443</v>
      </c>
    </row>
    <row r="151" spans="1:9" x14ac:dyDescent="0.3">
      <c r="A151" s="13">
        <v>45441</v>
      </c>
      <c r="B151">
        <v>2024</v>
      </c>
      <c r="C151">
        <v>5</v>
      </c>
      <c r="D151" t="s">
        <v>5</v>
      </c>
      <c r="E151" t="s">
        <v>77</v>
      </c>
      <c r="F151" t="s">
        <v>108</v>
      </c>
      <c r="G151">
        <v>29</v>
      </c>
      <c r="H151" t="s">
        <v>5</v>
      </c>
      <c r="I151" s="13">
        <v>45443</v>
      </c>
    </row>
    <row r="152" spans="1:9" x14ac:dyDescent="0.3">
      <c r="A152" s="13">
        <v>45442</v>
      </c>
      <c r="B152">
        <v>2024</v>
      </c>
      <c r="C152">
        <v>5</v>
      </c>
      <c r="D152" t="s">
        <v>5</v>
      </c>
      <c r="E152" t="s">
        <v>77</v>
      </c>
      <c r="F152" t="s">
        <v>108</v>
      </c>
      <c r="G152">
        <v>30</v>
      </c>
      <c r="H152" t="s">
        <v>5</v>
      </c>
      <c r="I152" s="13">
        <v>45443</v>
      </c>
    </row>
    <row r="153" spans="1:9" x14ac:dyDescent="0.3">
      <c r="A153" s="13">
        <v>45443</v>
      </c>
      <c r="B153">
        <v>2024</v>
      </c>
      <c r="C153">
        <v>5</v>
      </c>
      <c r="D153" t="s">
        <v>5</v>
      </c>
      <c r="E153" t="s">
        <v>77</v>
      </c>
      <c r="F153" t="s">
        <v>108</v>
      </c>
      <c r="G153">
        <v>31</v>
      </c>
      <c r="H153" t="s">
        <v>5</v>
      </c>
      <c r="I153" s="13">
        <v>45443</v>
      </c>
    </row>
    <row r="154" spans="1:9" x14ac:dyDescent="0.3">
      <c r="A154" s="13">
        <v>45444</v>
      </c>
      <c r="B154">
        <v>2024</v>
      </c>
      <c r="C154">
        <v>6</v>
      </c>
      <c r="D154" t="s">
        <v>6</v>
      </c>
      <c r="E154" t="s">
        <v>78</v>
      </c>
      <c r="F154" t="s">
        <v>108</v>
      </c>
      <c r="G154">
        <v>1</v>
      </c>
      <c r="H154" t="s">
        <v>110</v>
      </c>
      <c r="I154" s="13">
        <v>45473</v>
      </c>
    </row>
    <row r="155" spans="1:9" x14ac:dyDescent="0.3">
      <c r="A155" s="13">
        <v>45445</v>
      </c>
      <c r="B155">
        <v>2024</v>
      </c>
      <c r="C155">
        <v>6</v>
      </c>
      <c r="D155" t="s">
        <v>6</v>
      </c>
      <c r="E155" t="s">
        <v>78</v>
      </c>
      <c r="F155" t="s">
        <v>108</v>
      </c>
      <c r="G155">
        <v>2</v>
      </c>
      <c r="H155" t="s">
        <v>110</v>
      </c>
      <c r="I155" s="13">
        <v>45473</v>
      </c>
    </row>
    <row r="156" spans="1:9" x14ac:dyDescent="0.3">
      <c r="A156" s="13">
        <v>45446</v>
      </c>
      <c r="B156">
        <v>2024</v>
      </c>
      <c r="C156">
        <v>6</v>
      </c>
      <c r="D156" t="s">
        <v>6</v>
      </c>
      <c r="E156" t="s">
        <v>78</v>
      </c>
      <c r="F156" t="s">
        <v>108</v>
      </c>
      <c r="G156">
        <v>3</v>
      </c>
      <c r="H156" t="s">
        <v>110</v>
      </c>
      <c r="I156" s="13">
        <v>45473</v>
      </c>
    </row>
    <row r="157" spans="1:9" x14ac:dyDescent="0.3">
      <c r="A157" s="13">
        <v>45447</v>
      </c>
      <c r="B157">
        <v>2024</v>
      </c>
      <c r="C157">
        <v>6</v>
      </c>
      <c r="D157" t="s">
        <v>6</v>
      </c>
      <c r="E157" t="s">
        <v>78</v>
      </c>
      <c r="F157" t="s">
        <v>108</v>
      </c>
      <c r="G157">
        <v>4</v>
      </c>
      <c r="H157" t="s">
        <v>110</v>
      </c>
      <c r="I157" s="13">
        <v>45473</v>
      </c>
    </row>
    <row r="158" spans="1:9" x14ac:dyDescent="0.3">
      <c r="A158" s="13">
        <v>45448</v>
      </c>
      <c r="B158">
        <v>2024</v>
      </c>
      <c r="C158">
        <v>6</v>
      </c>
      <c r="D158" t="s">
        <v>6</v>
      </c>
      <c r="E158" t="s">
        <v>78</v>
      </c>
      <c r="F158" t="s">
        <v>108</v>
      </c>
      <c r="G158">
        <v>5</v>
      </c>
      <c r="H158" t="s">
        <v>110</v>
      </c>
      <c r="I158" s="13">
        <v>45473</v>
      </c>
    </row>
    <row r="159" spans="1:9" x14ac:dyDescent="0.3">
      <c r="A159" s="13">
        <v>45449</v>
      </c>
      <c r="B159">
        <v>2024</v>
      </c>
      <c r="C159">
        <v>6</v>
      </c>
      <c r="D159" t="s">
        <v>6</v>
      </c>
      <c r="E159" t="s">
        <v>78</v>
      </c>
      <c r="F159" t="s">
        <v>108</v>
      </c>
      <c r="G159">
        <v>6</v>
      </c>
      <c r="H159" t="s">
        <v>110</v>
      </c>
      <c r="I159" s="13">
        <v>45473</v>
      </c>
    </row>
    <row r="160" spans="1:9" x14ac:dyDescent="0.3">
      <c r="A160" s="13">
        <v>45450</v>
      </c>
      <c r="B160">
        <v>2024</v>
      </c>
      <c r="C160">
        <v>6</v>
      </c>
      <c r="D160" t="s">
        <v>6</v>
      </c>
      <c r="E160" t="s">
        <v>78</v>
      </c>
      <c r="F160" t="s">
        <v>108</v>
      </c>
      <c r="G160">
        <v>7</v>
      </c>
      <c r="H160" t="s">
        <v>110</v>
      </c>
      <c r="I160" s="13">
        <v>45473</v>
      </c>
    </row>
    <row r="161" spans="1:9" x14ac:dyDescent="0.3">
      <c r="A161" s="13">
        <v>45451</v>
      </c>
      <c r="B161">
        <v>2024</v>
      </c>
      <c r="C161">
        <v>6</v>
      </c>
      <c r="D161" t="s">
        <v>6</v>
      </c>
      <c r="E161" t="s">
        <v>78</v>
      </c>
      <c r="F161" t="s">
        <v>108</v>
      </c>
      <c r="G161">
        <v>8</v>
      </c>
      <c r="H161" t="s">
        <v>110</v>
      </c>
      <c r="I161" s="13">
        <v>45473</v>
      </c>
    </row>
    <row r="162" spans="1:9" x14ac:dyDescent="0.3">
      <c r="A162" s="13">
        <v>45452</v>
      </c>
      <c r="B162">
        <v>2024</v>
      </c>
      <c r="C162">
        <v>6</v>
      </c>
      <c r="D162" t="s">
        <v>6</v>
      </c>
      <c r="E162" t="s">
        <v>78</v>
      </c>
      <c r="F162" t="s">
        <v>108</v>
      </c>
      <c r="G162">
        <v>9</v>
      </c>
      <c r="H162" t="s">
        <v>110</v>
      </c>
      <c r="I162" s="13">
        <v>45473</v>
      </c>
    </row>
    <row r="163" spans="1:9" x14ac:dyDescent="0.3">
      <c r="A163" s="13">
        <v>45453</v>
      </c>
      <c r="B163">
        <v>2024</v>
      </c>
      <c r="C163">
        <v>6</v>
      </c>
      <c r="D163" t="s">
        <v>6</v>
      </c>
      <c r="E163" t="s">
        <v>78</v>
      </c>
      <c r="F163" t="s">
        <v>108</v>
      </c>
      <c r="G163">
        <v>10</v>
      </c>
      <c r="H163" t="s">
        <v>110</v>
      </c>
      <c r="I163" s="13">
        <v>45473</v>
      </c>
    </row>
    <row r="164" spans="1:9" x14ac:dyDescent="0.3">
      <c r="A164" s="13">
        <v>45454</v>
      </c>
      <c r="B164">
        <v>2024</v>
      </c>
      <c r="C164">
        <v>6</v>
      </c>
      <c r="D164" t="s">
        <v>6</v>
      </c>
      <c r="E164" t="s">
        <v>78</v>
      </c>
      <c r="F164" t="s">
        <v>108</v>
      </c>
      <c r="G164">
        <v>11</v>
      </c>
      <c r="H164" t="s">
        <v>110</v>
      </c>
      <c r="I164" s="13">
        <v>45473</v>
      </c>
    </row>
    <row r="165" spans="1:9" x14ac:dyDescent="0.3">
      <c r="A165" s="13">
        <v>45455</v>
      </c>
      <c r="B165">
        <v>2024</v>
      </c>
      <c r="C165">
        <v>6</v>
      </c>
      <c r="D165" t="s">
        <v>6</v>
      </c>
      <c r="E165" t="s">
        <v>78</v>
      </c>
      <c r="F165" t="s">
        <v>108</v>
      </c>
      <c r="G165">
        <v>12</v>
      </c>
      <c r="H165" t="s">
        <v>110</v>
      </c>
      <c r="I165" s="13">
        <v>45473</v>
      </c>
    </row>
    <row r="166" spans="1:9" x14ac:dyDescent="0.3">
      <c r="A166" s="13">
        <v>45456</v>
      </c>
      <c r="B166">
        <v>2024</v>
      </c>
      <c r="C166">
        <v>6</v>
      </c>
      <c r="D166" t="s">
        <v>6</v>
      </c>
      <c r="E166" t="s">
        <v>78</v>
      </c>
      <c r="F166" t="s">
        <v>108</v>
      </c>
      <c r="G166">
        <v>13</v>
      </c>
      <c r="H166" t="s">
        <v>110</v>
      </c>
      <c r="I166" s="13">
        <v>45473</v>
      </c>
    </row>
    <row r="167" spans="1:9" x14ac:dyDescent="0.3">
      <c r="A167" s="13">
        <v>45457</v>
      </c>
      <c r="B167">
        <v>2024</v>
      </c>
      <c r="C167">
        <v>6</v>
      </c>
      <c r="D167" t="s">
        <v>6</v>
      </c>
      <c r="E167" t="s">
        <v>78</v>
      </c>
      <c r="F167" t="s">
        <v>108</v>
      </c>
      <c r="G167">
        <v>14</v>
      </c>
      <c r="H167" t="s">
        <v>110</v>
      </c>
      <c r="I167" s="13">
        <v>45473</v>
      </c>
    </row>
    <row r="168" spans="1:9" x14ac:dyDescent="0.3">
      <c r="A168" s="13">
        <v>45458</v>
      </c>
      <c r="B168">
        <v>2024</v>
      </c>
      <c r="C168">
        <v>6</v>
      </c>
      <c r="D168" t="s">
        <v>6</v>
      </c>
      <c r="E168" t="s">
        <v>78</v>
      </c>
      <c r="F168" t="s">
        <v>108</v>
      </c>
      <c r="G168">
        <v>15</v>
      </c>
      <c r="H168" t="s">
        <v>110</v>
      </c>
      <c r="I168" s="13">
        <v>45473</v>
      </c>
    </row>
    <row r="169" spans="1:9" x14ac:dyDescent="0.3">
      <c r="A169" s="13">
        <v>45459</v>
      </c>
      <c r="B169">
        <v>2024</v>
      </c>
      <c r="C169">
        <v>6</v>
      </c>
      <c r="D169" t="s">
        <v>6</v>
      </c>
      <c r="E169" t="s">
        <v>78</v>
      </c>
      <c r="F169" t="s">
        <v>108</v>
      </c>
      <c r="G169">
        <v>16</v>
      </c>
      <c r="H169" t="s">
        <v>110</v>
      </c>
      <c r="I169" s="13">
        <v>45473</v>
      </c>
    </row>
    <row r="170" spans="1:9" x14ac:dyDescent="0.3">
      <c r="A170" s="13">
        <v>45460</v>
      </c>
      <c r="B170">
        <v>2024</v>
      </c>
      <c r="C170">
        <v>6</v>
      </c>
      <c r="D170" t="s">
        <v>6</v>
      </c>
      <c r="E170" t="s">
        <v>78</v>
      </c>
      <c r="F170" t="s">
        <v>108</v>
      </c>
      <c r="G170">
        <v>17</v>
      </c>
      <c r="H170" t="s">
        <v>110</v>
      </c>
      <c r="I170" s="13">
        <v>45473</v>
      </c>
    </row>
    <row r="171" spans="1:9" x14ac:dyDescent="0.3">
      <c r="A171" s="13">
        <v>45461</v>
      </c>
      <c r="B171">
        <v>2024</v>
      </c>
      <c r="C171">
        <v>6</v>
      </c>
      <c r="D171" t="s">
        <v>6</v>
      </c>
      <c r="E171" t="s">
        <v>78</v>
      </c>
      <c r="F171" t="s">
        <v>108</v>
      </c>
      <c r="G171">
        <v>18</v>
      </c>
      <c r="H171" t="s">
        <v>110</v>
      </c>
      <c r="I171" s="13">
        <v>45473</v>
      </c>
    </row>
    <row r="172" spans="1:9" x14ac:dyDescent="0.3">
      <c r="A172" s="13">
        <v>45462</v>
      </c>
      <c r="B172">
        <v>2024</v>
      </c>
      <c r="C172">
        <v>6</v>
      </c>
      <c r="D172" t="s">
        <v>6</v>
      </c>
      <c r="E172" t="s">
        <v>78</v>
      </c>
      <c r="F172" t="s">
        <v>108</v>
      </c>
      <c r="G172">
        <v>19</v>
      </c>
      <c r="H172" t="s">
        <v>110</v>
      </c>
      <c r="I172" s="13">
        <v>45473</v>
      </c>
    </row>
    <row r="173" spans="1:9" x14ac:dyDescent="0.3">
      <c r="A173" s="13">
        <v>45463</v>
      </c>
      <c r="B173">
        <v>2024</v>
      </c>
      <c r="C173">
        <v>6</v>
      </c>
      <c r="D173" t="s">
        <v>6</v>
      </c>
      <c r="E173" t="s">
        <v>78</v>
      </c>
      <c r="F173" t="s">
        <v>108</v>
      </c>
      <c r="G173">
        <v>20</v>
      </c>
      <c r="H173" t="s">
        <v>110</v>
      </c>
      <c r="I173" s="13">
        <v>45473</v>
      </c>
    </row>
    <row r="174" spans="1:9" x14ac:dyDescent="0.3">
      <c r="A174" s="13">
        <v>45464</v>
      </c>
      <c r="B174">
        <v>2024</v>
      </c>
      <c r="C174">
        <v>6</v>
      </c>
      <c r="D174" t="s">
        <v>6</v>
      </c>
      <c r="E174" t="s">
        <v>78</v>
      </c>
      <c r="F174" t="s">
        <v>108</v>
      </c>
      <c r="G174">
        <v>21</v>
      </c>
      <c r="H174" t="s">
        <v>110</v>
      </c>
      <c r="I174" s="13">
        <v>45473</v>
      </c>
    </row>
    <row r="175" spans="1:9" x14ac:dyDescent="0.3">
      <c r="A175" s="13">
        <v>45465</v>
      </c>
      <c r="B175">
        <v>2024</v>
      </c>
      <c r="C175">
        <v>6</v>
      </c>
      <c r="D175" t="s">
        <v>6</v>
      </c>
      <c r="E175" t="s">
        <v>78</v>
      </c>
      <c r="F175" t="s">
        <v>108</v>
      </c>
      <c r="G175">
        <v>22</v>
      </c>
      <c r="H175" t="s">
        <v>110</v>
      </c>
      <c r="I175" s="13">
        <v>45473</v>
      </c>
    </row>
    <row r="176" spans="1:9" x14ac:dyDescent="0.3">
      <c r="A176" s="13">
        <v>45466</v>
      </c>
      <c r="B176">
        <v>2024</v>
      </c>
      <c r="C176">
        <v>6</v>
      </c>
      <c r="D176" t="s">
        <v>6</v>
      </c>
      <c r="E176" t="s">
        <v>78</v>
      </c>
      <c r="F176" t="s">
        <v>108</v>
      </c>
      <c r="G176">
        <v>23</v>
      </c>
      <c r="H176" t="s">
        <v>110</v>
      </c>
      <c r="I176" s="13">
        <v>45473</v>
      </c>
    </row>
    <row r="177" spans="1:9" x14ac:dyDescent="0.3">
      <c r="A177" s="13">
        <v>45467</v>
      </c>
      <c r="B177">
        <v>2024</v>
      </c>
      <c r="C177">
        <v>6</v>
      </c>
      <c r="D177" t="s">
        <v>6</v>
      </c>
      <c r="E177" t="s">
        <v>78</v>
      </c>
      <c r="F177" t="s">
        <v>108</v>
      </c>
      <c r="G177">
        <v>24</v>
      </c>
      <c r="H177" t="s">
        <v>110</v>
      </c>
      <c r="I177" s="13">
        <v>45473</v>
      </c>
    </row>
    <row r="178" spans="1:9" x14ac:dyDescent="0.3">
      <c r="A178" s="13">
        <v>45468</v>
      </c>
      <c r="B178">
        <v>2024</v>
      </c>
      <c r="C178">
        <v>6</v>
      </c>
      <c r="D178" t="s">
        <v>6</v>
      </c>
      <c r="E178" t="s">
        <v>78</v>
      </c>
      <c r="F178" t="s">
        <v>108</v>
      </c>
      <c r="G178">
        <v>25</v>
      </c>
      <c r="H178" t="s">
        <v>110</v>
      </c>
      <c r="I178" s="13">
        <v>45473</v>
      </c>
    </row>
    <row r="179" spans="1:9" x14ac:dyDescent="0.3">
      <c r="A179" s="13">
        <v>45469</v>
      </c>
      <c r="B179">
        <v>2024</v>
      </c>
      <c r="C179">
        <v>6</v>
      </c>
      <c r="D179" t="s">
        <v>6</v>
      </c>
      <c r="E179" t="s">
        <v>78</v>
      </c>
      <c r="F179" t="s">
        <v>108</v>
      </c>
      <c r="G179">
        <v>26</v>
      </c>
      <c r="H179" t="s">
        <v>110</v>
      </c>
      <c r="I179" s="13">
        <v>45473</v>
      </c>
    </row>
    <row r="180" spans="1:9" x14ac:dyDescent="0.3">
      <c r="A180" s="13">
        <v>45470</v>
      </c>
      <c r="B180">
        <v>2024</v>
      </c>
      <c r="C180">
        <v>6</v>
      </c>
      <c r="D180" t="s">
        <v>6</v>
      </c>
      <c r="E180" t="s">
        <v>78</v>
      </c>
      <c r="F180" t="s">
        <v>108</v>
      </c>
      <c r="G180">
        <v>27</v>
      </c>
      <c r="H180" t="s">
        <v>110</v>
      </c>
      <c r="I180" s="13">
        <v>45473</v>
      </c>
    </row>
    <row r="181" spans="1:9" x14ac:dyDescent="0.3">
      <c r="A181" s="13">
        <v>45471</v>
      </c>
      <c r="B181">
        <v>2024</v>
      </c>
      <c r="C181">
        <v>6</v>
      </c>
      <c r="D181" t="s">
        <v>6</v>
      </c>
      <c r="E181" t="s">
        <v>78</v>
      </c>
      <c r="F181" t="s">
        <v>108</v>
      </c>
      <c r="G181">
        <v>28</v>
      </c>
      <c r="H181" t="s">
        <v>110</v>
      </c>
      <c r="I181" s="13">
        <v>45473</v>
      </c>
    </row>
    <row r="182" spans="1:9" x14ac:dyDescent="0.3">
      <c r="A182" s="13">
        <v>45472</v>
      </c>
      <c r="B182">
        <v>2024</v>
      </c>
      <c r="C182">
        <v>6</v>
      </c>
      <c r="D182" t="s">
        <v>6</v>
      </c>
      <c r="E182" t="s">
        <v>78</v>
      </c>
      <c r="F182" t="s">
        <v>108</v>
      </c>
      <c r="G182">
        <v>29</v>
      </c>
      <c r="H182" t="s">
        <v>110</v>
      </c>
      <c r="I182" s="13">
        <v>45473</v>
      </c>
    </row>
    <row r="183" spans="1:9" x14ac:dyDescent="0.3">
      <c r="A183" s="13">
        <v>45473</v>
      </c>
      <c r="B183">
        <v>2024</v>
      </c>
      <c r="C183">
        <v>6</v>
      </c>
      <c r="D183" t="s">
        <v>6</v>
      </c>
      <c r="E183" t="s">
        <v>78</v>
      </c>
      <c r="F183" t="s">
        <v>108</v>
      </c>
      <c r="G183">
        <v>30</v>
      </c>
      <c r="H183" t="s">
        <v>110</v>
      </c>
      <c r="I183" s="13">
        <v>45473</v>
      </c>
    </row>
    <row r="184" spans="1:9" x14ac:dyDescent="0.3">
      <c r="A184" s="13">
        <v>45474</v>
      </c>
      <c r="B184">
        <v>2024</v>
      </c>
      <c r="C184">
        <v>7</v>
      </c>
      <c r="D184" t="s">
        <v>7</v>
      </c>
      <c r="E184" t="s">
        <v>79</v>
      </c>
      <c r="F184" t="s">
        <v>111</v>
      </c>
      <c r="G184">
        <v>1</v>
      </c>
      <c r="H184" t="s">
        <v>112</v>
      </c>
      <c r="I184" s="13">
        <v>45504</v>
      </c>
    </row>
    <row r="185" spans="1:9" x14ac:dyDescent="0.3">
      <c r="A185" s="13">
        <v>45475</v>
      </c>
      <c r="B185">
        <v>2024</v>
      </c>
      <c r="C185">
        <v>7</v>
      </c>
      <c r="D185" t="s">
        <v>7</v>
      </c>
      <c r="E185" t="s">
        <v>79</v>
      </c>
      <c r="F185" t="s">
        <v>111</v>
      </c>
      <c r="G185">
        <v>2</v>
      </c>
      <c r="H185" t="s">
        <v>112</v>
      </c>
      <c r="I185" s="13">
        <v>45504</v>
      </c>
    </row>
    <row r="186" spans="1:9" x14ac:dyDescent="0.3">
      <c r="A186" s="13">
        <v>45476</v>
      </c>
      <c r="B186">
        <v>2024</v>
      </c>
      <c r="C186">
        <v>7</v>
      </c>
      <c r="D186" t="s">
        <v>7</v>
      </c>
      <c r="E186" t="s">
        <v>79</v>
      </c>
      <c r="F186" t="s">
        <v>111</v>
      </c>
      <c r="G186">
        <v>3</v>
      </c>
      <c r="H186" t="s">
        <v>112</v>
      </c>
      <c r="I186" s="13">
        <v>45504</v>
      </c>
    </row>
    <row r="187" spans="1:9" x14ac:dyDescent="0.3">
      <c r="A187" s="13">
        <v>45477</v>
      </c>
      <c r="B187">
        <v>2024</v>
      </c>
      <c r="C187">
        <v>7</v>
      </c>
      <c r="D187" t="s">
        <v>7</v>
      </c>
      <c r="E187" t="s">
        <v>79</v>
      </c>
      <c r="F187" t="s">
        <v>111</v>
      </c>
      <c r="G187">
        <v>4</v>
      </c>
      <c r="H187" t="s">
        <v>112</v>
      </c>
      <c r="I187" s="13">
        <v>45504</v>
      </c>
    </row>
    <row r="188" spans="1:9" x14ac:dyDescent="0.3">
      <c r="A188" s="13">
        <v>45478</v>
      </c>
      <c r="B188">
        <v>2024</v>
      </c>
      <c r="C188">
        <v>7</v>
      </c>
      <c r="D188" t="s">
        <v>7</v>
      </c>
      <c r="E188" t="s">
        <v>79</v>
      </c>
      <c r="F188" t="s">
        <v>111</v>
      </c>
      <c r="G188">
        <v>5</v>
      </c>
      <c r="H188" t="s">
        <v>112</v>
      </c>
      <c r="I188" s="13">
        <v>45504</v>
      </c>
    </row>
    <row r="189" spans="1:9" x14ac:dyDescent="0.3">
      <c r="A189" s="13">
        <v>45479</v>
      </c>
      <c r="B189">
        <v>2024</v>
      </c>
      <c r="C189">
        <v>7</v>
      </c>
      <c r="D189" t="s">
        <v>7</v>
      </c>
      <c r="E189" t="s">
        <v>79</v>
      </c>
      <c r="F189" t="s">
        <v>111</v>
      </c>
      <c r="G189">
        <v>6</v>
      </c>
      <c r="H189" t="s">
        <v>112</v>
      </c>
      <c r="I189" s="13">
        <v>45504</v>
      </c>
    </row>
    <row r="190" spans="1:9" x14ac:dyDescent="0.3">
      <c r="A190" s="13">
        <v>45480</v>
      </c>
      <c r="B190">
        <v>2024</v>
      </c>
      <c r="C190">
        <v>7</v>
      </c>
      <c r="D190" t="s">
        <v>7</v>
      </c>
      <c r="E190" t="s">
        <v>79</v>
      </c>
      <c r="F190" t="s">
        <v>111</v>
      </c>
      <c r="G190">
        <v>7</v>
      </c>
      <c r="H190" t="s">
        <v>112</v>
      </c>
      <c r="I190" s="13">
        <v>45504</v>
      </c>
    </row>
    <row r="191" spans="1:9" x14ac:dyDescent="0.3">
      <c r="A191" s="13">
        <v>45481</v>
      </c>
      <c r="B191">
        <v>2024</v>
      </c>
      <c r="C191">
        <v>7</v>
      </c>
      <c r="D191" t="s">
        <v>7</v>
      </c>
      <c r="E191" t="s">
        <v>79</v>
      </c>
      <c r="F191" t="s">
        <v>111</v>
      </c>
      <c r="G191">
        <v>8</v>
      </c>
      <c r="H191" t="s">
        <v>112</v>
      </c>
      <c r="I191" s="13">
        <v>45504</v>
      </c>
    </row>
    <row r="192" spans="1:9" x14ac:dyDescent="0.3">
      <c r="A192" s="13">
        <v>45482</v>
      </c>
      <c r="B192">
        <v>2024</v>
      </c>
      <c r="C192">
        <v>7</v>
      </c>
      <c r="D192" t="s">
        <v>7</v>
      </c>
      <c r="E192" t="s">
        <v>79</v>
      </c>
      <c r="F192" t="s">
        <v>111</v>
      </c>
      <c r="G192">
        <v>9</v>
      </c>
      <c r="H192" t="s">
        <v>112</v>
      </c>
      <c r="I192" s="13">
        <v>45504</v>
      </c>
    </row>
    <row r="193" spans="1:9" x14ac:dyDescent="0.3">
      <c r="A193" s="13">
        <v>45483</v>
      </c>
      <c r="B193">
        <v>2024</v>
      </c>
      <c r="C193">
        <v>7</v>
      </c>
      <c r="D193" t="s">
        <v>7</v>
      </c>
      <c r="E193" t="s">
        <v>79</v>
      </c>
      <c r="F193" t="s">
        <v>111</v>
      </c>
      <c r="G193">
        <v>10</v>
      </c>
      <c r="H193" t="s">
        <v>112</v>
      </c>
      <c r="I193" s="13">
        <v>45504</v>
      </c>
    </row>
    <row r="194" spans="1:9" x14ac:dyDescent="0.3">
      <c r="A194" s="13">
        <v>45484</v>
      </c>
      <c r="B194">
        <v>2024</v>
      </c>
      <c r="C194">
        <v>7</v>
      </c>
      <c r="D194" t="s">
        <v>7</v>
      </c>
      <c r="E194" t="s">
        <v>79</v>
      </c>
      <c r="F194" t="s">
        <v>111</v>
      </c>
      <c r="G194">
        <v>11</v>
      </c>
      <c r="H194" t="s">
        <v>112</v>
      </c>
      <c r="I194" s="13">
        <v>45504</v>
      </c>
    </row>
    <row r="195" spans="1:9" x14ac:dyDescent="0.3">
      <c r="A195" s="13">
        <v>45485</v>
      </c>
      <c r="B195">
        <v>2024</v>
      </c>
      <c r="C195">
        <v>7</v>
      </c>
      <c r="D195" t="s">
        <v>7</v>
      </c>
      <c r="E195" t="s">
        <v>79</v>
      </c>
      <c r="F195" t="s">
        <v>111</v>
      </c>
      <c r="G195">
        <v>12</v>
      </c>
      <c r="H195" t="s">
        <v>112</v>
      </c>
      <c r="I195" s="13">
        <v>45504</v>
      </c>
    </row>
    <row r="196" spans="1:9" x14ac:dyDescent="0.3">
      <c r="A196" s="13">
        <v>45486</v>
      </c>
      <c r="B196">
        <v>2024</v>
      </c>
      <c r="C196">
        <v>7</v>
      </c>
      <c r="D196" t="s">
        <v>7</v>
      </c>
      <c r="E196" t="s">
        <v>79</v>
      </c>
      <c r="F196" t="s">
        <v>111</v>
      </c>
      <c r="G196">
        <v>13</v>
      </c>
      <c r="H196" t="s">
        <v>112</v>
      </c>
      <c r="I196" s="13">
        <v>45504</v>
      </c>
    </row>
    <row r="197" spans="1:9" x14ac:dyDescent="0.3">
      <c r="A197" s="13">
        <v>45487</v>
      </c>
      <c r="B197">
        <v>2024</v>
      </c>
      <c r="C197">
        <v>7</v>
      </c>
      <c r="D197" t="s">
        <v>7</v>
      </c>
      <c r="E197" t="s">
        <v>79</v>
      </c>
      <c r="F197" t="s">
        <v>111</v>
      </c>
      <c r="G197">
        <v>14</v>
      </c>
      <c r="H197" t="s">
        <v>112</v>
      </c>
      <c r="I197" s="13">
        <v>45504</v>
      </c>
    </row>
    <row r="198" spans="1:9" x14ac:dyDescent="0.3">
      <c r="A198" s="13">
        <v>45488</v>
      </c>
      <c r="B198">
        <v>2024</v>
      </c>
      <c r="C198">
        <v>7</v>
      </c>
      <c r="D198" t="s">
        <v>7</v>
      </c>
      <c r="E198" t="s">
        <v>79</v>
      </c>
      <c r="F198" t="s">
        <v>111</v>
      </c>
      <c r="G198">
        <v>15</v>
      </c>
      <c r="H198" t="s">
        <v>112</v>
      </c>
      <c r="I198" s="13">
        <v>45504</v>
      </c>
    </row>
    <row r="199" spans="1:9" x14ac:dyDescent="0.3">
      <c r="A199" s="13">
        <v>45489</v>
      </c>
      <c r="B199">
        <v>2024</v>
      </c>
      <c r="C199">
        <v>7</v>
      </c>
      <c r="D199" t="s">
        <v>7</v>
      </c>
      <c r="E199" t="s">
        <v>79</v>
      </c>
      <c r="F199" t="s">
        <v>111</v>
      </c>
      <c r="G199">
        <v>16</v>
      </c>
      <c r="H199" t="s">
        <v>112</v>
      </c>
      <c r="I199" s="13">
        <v>45504</v>
      </c>
    </row>
    <row r="200" spans="1:9" x14ac:dyDescent="0.3">
      <c r="A200" s="13">
        <v>45490</v>
      </c>
      <c r="B200">
        <v>2024</v>
      </c>
      <c r="C200">
        <v>7</v>
      </c>
      <c r="D200" t="s">
        <v>7</v>
      </c>
      <c r="E200" t="s">
        <v>79</v>
      </c>
      <c r="F200" t="s">
        <v>111</v>
      </c>
      <c r="G200">
        <v>17</v>
      </c>
      <c r="H200" t="s">
        <v>112</v>
      </c>
      <c r="I200" s="13">
        <v>45504</v>
      </c>
    </row>
    <row r="201" spans="1:9" x14ac:dyDescent="0.3">
      <c r="A201" s="13">
        <v>45491</v>
      </c>
      <c r="B201">
        <v>2024</v>
      </c>
      <c r="C201">
        <v>7</v>
      </c>
      <c r="D201" t="s">
        <v>7</v>
      </c>
      <c r="E201" t="s">
        <v>79</v>
      </c>
      <c r="F201" t="s">
        <v>111</v>
      </c>
      <c r="G201">
        <v>18</v>
      </c>
      <c r="H201" t="s">
        <v>112</v>
      </c>
      <c r="I201" s="13">
        <v>45504</v>
      </c>
    </row>
    <row r="202" spans="1:9" x14ac:dyDescent="0.3">
      <c r="A202" s="13">
        <v>45492</v>
      </c>
      <c r="B202">
        <v>2024</v>
      </c>
      <c r="C202">
        <v>7</v>
      </c>
      <c r="D202" t="s">
        <v>7</v>
      </c>
      <c r="E202" t="s">
        <v>79</v>
      </c>
      <c r="F202" t="s">
        <v>111</v>
      </c>
      <c r="G202">
        <v>19</v>
      </c>
      <c r="H202" t="s">
        <v>112</v>
      </c>
      <c r="I202" s="13">
        <v>45504</v>
      </c>
    </row>
    <row r="203" spans="1:9" x14ac:dyDescent="0.3">
      <c r="A203" s="13">
        <v>45493</v>
      </c>
      <c r="B203">
        <v>2024</v>
      </c>
      <c r="C203">
        <v>7</v>
      </c>
      <c r="D203" t="s">
        <v>7</v>
      </c>
      <c r="E203" t="s">
        <v>79</v>
      </c>
      <c r="F203" t="s">
        <v>111</v>
      </c>
      <c r="G203">
        <v>20</v>
      </c>
      <c r="H203" t="s">
        <v>112</v>
      </c>
      <c r="I203" s="13">
        <v>45504</v>
      </c>
    </row>
    <row r="204" spans="1:9" x14ac:dyDescent="0.3">
      <c r="A204" s="13">
        <v>45494</v>
      </c>
      <c r="B204">
        <v>2024</v>
      </c>
      <c r="C204">
        <v>7</v>
      </c>
      <c r="D204" t="s">
        <v>7</v>
      </c>
      <c r="E204" t="s">
        <v>79</v>
      </c>
      <c r="F204" t="s">
        <v>111</v>
      </c>
      <c r="G204">
        <v>21</v>
      </c>
      <c r="H204" t="s">
        <v>112</v>
      </c>
      <c r="I204" s="13">
        <v>45504</v>
      </c>
    </row>
    <row r="205" spans="1:9" x14ac:dyDescent="0.3">
      <c r="A205" s="13">
        <v>45495</v>
      </c>
      <c r="B205">
        <v>2024</v>
      </c>
      <c r="C205">
        <v>7</v>
      </c>
      <c r="D205" t="s">
        <v>7</v>
      </c>
      <c r="E205" t="s">
        <v>79</v>
      </c>
      <c r="F205" t="s">
        <v>111</v>
      </c>
      <c r="G205">
        <v>22</v>
      </c>
      <c r="H205" t="s">
        <v>112</v>
      </c>
      <c r="I205" s="13">
        <v>45504</v>
      </c>
    </row>
    <row r="206" spans="1:9" x14ac:dyDescent="0.3">
      <c r="A206" s="13">
        <v>45496</v>
      </c>
      <c r="B206">
        <v>2024</v>
      </c>
      <c r="C206">
        <v>7</v>
      </c>
      <c r="D206" t="s">
        <v>7</v>
      </c>
      <c r="E206" t="s">
        <v>79</v>
      </c>
      <c r="F206" t="s">
        <v>111</v>
      </c>
      <c r="G206">
        <v>23</v>
      </c>
      <c r="H206" t="s">
        <v>112</v>
      </c>
      <c r="I206" s="13">
        <v>45504</v>
      </c>
    </row>
    <row r="207" spans="1:9" x14ac:dyDescent="0.3">
      <c r="A207" s="13">
        <v>45497</v>
      </c>
      <c r="B207">
        <v>2024</v>
      </c>
      <c r="C207">
        <v>7</v>
      </c>
      <c r="D207" t="s">
        <v>7</v>
      </c>
      <c r="E207" t="s">
        <v>79</v>
      </c>
      <c r="F207" t="s">
        <v>111</v>
      </c>
      <c r="G207">
        <v>24</v>
      </c>
      <c r="H207" t="s">
        <v>112</v>
      </c>
      <c r="I207" s="13">
        <v>45504</v>
      </c>
    </row>
    <row r="208" spans="1:9" x14ac:dyDescent="0.3">
      <c r="A208" s="13">
        <v>45498</v>
      </c>
      <c r="B208">
        <v>2024</v>
      </c>
      <c r="C208">
        <v>7</v>
      </c>
      <c r="D208" t="s">
        <v>7</v>
      </c>
      <c r="E208" t="s">
        <v>79</v>
      </c>
      <c r="F208" t="s">
        <v>111</v>
      </c>
      <c r="G208">
        <v>25</v>
      </c>
      <c r="H208" t="s">
        <v>112</v>
      </c>
      <c r="I208" s="13">
        <v>45504</v>
      </c>
    </row>
    <row r="209" spans="1:9" x14ac:dyDescent="0.3">
      <c r="A209" s="13">
        <v>45499</v>
      </c>
      <c r="B209">
        <v>2024</v>
      </c>
      <c r="C209">
        <v>7</v>
      </c>
      <c r="D209" t="s">
        <v>7</v>
      </c>
      <c r="E209" t="s">
        <v>79</v>
      </c>
      <c r="F209" t="s">
        <v>111</v>
      </c>
      <c r="G209">
        <v>26</v>
      </c>
      <c r="H209" t="s">
        <v>112</v>
      </c>
      <c r="I209" s="13">
        <v>45504</v>
      </c>
    </row>
    <row r="210" spans="1:9" x14ac:dyDescent="0.3">
      <c r="A210" s="13">
        <v>45500</v>
      </c>
      <c r="B210">
        <v>2024</v>
      </c>
      <c r="C210">
        <v>7</v>
      </c>
      <c r="D210" t="s">
        <v>7</v>
      </c>
      <c r="E210" t="s">
        <v>79</v>
      </c>
      <c r="F210" t="s">
        <v>111</v>
      </c>
      <c r="G210">
        <v>27</v>
      </c>
      <c r="H210" t="s">
        <v>112</v>
      </c>
      <c r="I210" s="13">
        <v>45504</v>
      </c>
    </row>
    <row r="211" spans="1:9" x14ac:dyDescent="0.3">
      <c r="A211" s="13">
        <v>45501</v>
      </c>
      <c r="B211">
        <v>2024</v>
      </c>
      <c r="C211">
        <v>7</v>
      </c>
      <c r="D211" t="s">
        <v>7</v>
      </c>
      <c r="E211" t="s">
        <v>79</v>
      </c>
      <c r="F211" t="s">
        <v>111</v>
      </c>
      <c r="G211">
        <v>28</v>
      </c>
      <c r="H211" t="s">
        <v>112</v>
      </c>
      <c r="I211" s="13">
        <v>45504</v>
      </c>
    </row>
    <row r="212" spans="1:9" x14ac:dyDescent="0.3">
      <c r="A212" s="13">
        <v>45502</v>
      </c>
      <c r="B212">
        <v>2024</v>
      </c>
      <c r="C212">
        <v>7</v>
      </c>
      <c r="D212" t="s">
        <v>7</v>
      </c>
      <c r="E212" t="s">
        <v>79</v>
      </c>
      <c r="F212" t="s">
        <v>111</v>
      </c>
      <c r="G212">
        <v>29</v>
      </c>
      <c r="H212" t="s">
        <v>112</v>
      </c>
      <c r="I212" s="13">
        <v>45504</v>
      </c>
    </row>
    <row r="213" spans="1:9" x14ac:dyDescent="0.3">
      <c r="A213" s="13">
        <v>45503</v>
      </c>
      <c r="B213">
        <v>2024</v>
      </c>
      <c r="C213">
        <v>7</v>
      </c>
      <c r="D213" t="s">
        <v>7</v>
      </c>
      <c r="E213" t="s">
        <v>79</v>
      </c>
      <c r="F213" t="s">
        <v>111</v>
      </c>
      <c r="G213">
        <v>30</v>
      </c>
      <c r="H213" t="s">
        <v>112</v>
      </c>
      <c r="I213" s="13">
        <v>45504</v>
      </c>
    </row>
    <row r="214" spans="1:9" x14ac:dyDescent="0.3">
      <c r="A214" s="13">
        <v>45504</v>
      </c>
      <c r="B214">
        <v>2024</v>
      </c>
      <c r="C214">
        <v>7</v>
      </c>
      <c r="D214" t="s">
        <v>7</v>
      </c>
      <c r="E214" t="s">
        <v>79</v>
      </c>
      <c r="F214" t="s">
        <v>111</v>
      </c>
      <c r="G214">
        <v>31</v>
      </c>
      <c r="H214" t="s">
        <v>112</v>
      </c>
      <c r="I214" s="13">
        <v>45504</v>
      </c>
    </row>
    <row r="215" spans="1:9" x14ac:dyDescent="0.3">
      <c r="A215" s="13">
        <v>45505</v>
      </c>
      <c r="B215">
        <v>2024</v>
      </c>
      <c r="C215">
        <v>8</v>
      </c>
      <c r="D215" t="s">
        <v>8</v>
      </c>
      <c r="E215" t="s">
        <v>80</v>
      </c>
      <c r="F215" t="s">
        <v>111</v>
      </c>
      <c r="G215">
        <v>1</v>
      </c>
      <c r="H215" t="s">
        <v>113</v>
      </c>
      <c r="I215" s="13">
        <v>45535</v>
      </c>
    </row>
    <row r="216" spans="1:9" x14ac:dyDescent="0.3">
      <c r="A216" s="13">
        <v>45506</v>
      </c>
      <c r="B216">
        <v>2024</v>
      </c>
      <c r="C216">
        <v>8</v>
      </c>
      <c r="D216" t="s">
        <v>8</v>
      </c>
      <c r="E216" t="s">
        <v>80</v>
      </c>
      <c r="F216" t="s">
        <v>111</v>
      </c>
      <c r="G216">
        <v>2</v>
      </c>
      <c r="H216" t="s">
        <v>113</v>
      </c>
      <c r="I216" s="13">
        <v>45535</v>
      </c>
    </row>
    <row r="217" spans="1:9" x14ac:dyDescent="0.3">
      <c r="A217" s="13">
        <v>45507</v>
      </c>
      <c r="B217">
        <v>2024</v>
      </c>
      <c r="C217">
        <v>8</v>
      </c>
      <c r="D217" t="s">
        <v>8</v>
      </c>
      <c r="E217" t="s">
        <v>80</v>
      </c>
      <c r="F217" t="s">
        <v>111</v>
      </c>
      <c r="G217">
        <v>3</v>
      </c>
      <c r="H217" t="s">
        <v>113</v>
      </c>
      <c r="I217" s="13">
        <v>45535</v>
      </c>
    </row>
    <row r="218" spans="1:9" x14ac:dyDescent="0.3">
      <c r="A218" s="13">
        <v>45508</v>
      </c>
      <c r="B218">
        <v>2024</v>
      </c>
      <c r="C218">
        <v>8</v>
      </c>
      <c r="D218" t="s">
        <v>8</v>
      </c>
      <c r="E218" t="s">
        <v>80</v>
      </c>
      <c r="F218" t="s">
        <v>111</v>
      </c>
      <c r="G218">
        <v>4</v>
      </c>
      <c r="H218" t="s">
        <v>113</v>
      </c>
      <c r="I218" s="13">
        <v>45535</v>
      </c>
    </row>
    <row r="219" spans="1:9" x14ac:dyDescent="0.3">
      <c r="A219" s="13">
        <v>45509</v>
      </c>
      <c r="B219">
        <v>2024</v>
      </c>
      <c r="C219">
        <v>8</v>
      </c>
      <c r="D219" t="s">
        <v>8</v>
      </c>
      <c r="E219" t="s">
        <v>80</v>
      </c>
      <c r="F219" t="s">
        <v>111</v>
      </c>
      <c r="G219">
        <v>5</v>
      </c>
      <c r="H219" t="s">
        <v>113</v>
      </c>
      <c r="I219" s="13">
        <v>45535</v>
      </c>
    </row>
    <row r="220" spans="1:9" x14ac:dyDescent="0.3">
      <c r="A220" s="13">
        <v>45510</v>
      </c>
      <c r="B220">
        <v>2024</v>
      </c>
      <c r="C220">
        <v>8</v>
      </c>
      <c r="D220" t="s">
        <v>8</v>
      </c>
      <c r="E220" t="s">
        <v>80</v>
      </c>
      <c r="F220" t="s">
        <v>111</v>
      </c>
      <c r="G220">
        <v>6</v>
      </c>
      <c r="H220" t="s">
        <v>113</v>
      </c>
      <c r="I220" s="13">
        <v>45535</v>
      </c>
    </row>
    <row r="221" spans="1:9" x14ac:dyDescent="0.3">
      <c r="A221" s="13">
        <v>45511</v>
      </c>
      <c r="B221">
        <v>2024</v>
      </c>
      <c r="C221">
        <v>8</v>
      </c>
      <c r="D221" t="s">
        <v>8</v>
      </c>
      <c r="E221" t="s">
        <v>80</v>
      </c>
      <c r="F221" t="s">
        <v>111</v>
      </c>
      <c r="G221">
        <v>7</v>
      </c>
      <c r="H221" t="s">
        <v>113</v>
      </c>
      <c r="I221" s="13">
        <v>45535</v>
      </c>
    </row>
    <row r="222" spans="1:9" x14ac:dyDescent="0.3">
      <c r="A222" s="13">
        <v>45512</v>
      </c>
      <c r="B222">
        <v>2024</v>
      </c>
      <c r="C222">
        <v>8</v>
      </c>
      <c r="D222" t="s">
        <v>8</v>
      </c>
      <c r="E222" t="s">
        <v>80</v>
      </c>
      <c r="F222" t="s">
        <v>111</v>
      </c>
      <c r="G222">
        <v>8</v>
      </c>
      <c r="H222" t="s">
        <v>113</v>
      </c>
      <c r="I222" s="13">
        <v>45535</v>
      </c>
    </row>
    <row r="223" spans="1:9" x14ac:dyDescent="0.3">
      <c r="A223" s="13">
        <v>45513</v>
      </c>
      <c r="B223">
        <v>2024</v>
      </c>
      <c r="C223">
        <v>8</v>
      </c>
      <c r="D223" t="s">
        <v>8</v>
      </c>
      <c r="E223" t="s">
        <v>80</v>
      </c>
      <c r="F223" t="s">
        <v>111</v>
      </c>
      <c r="G223">
        <v>9</v>
      </c>
      <c r="H223" t="s">
        <v>113</v>
      </c>
      <c r="I223" s="13">
        <v>45535</v>
      </c>
    </row>
    <row r="224" spans="1:9" x14ac:dyDescent="0.3">
      <c r="A224" s="13">
        <v>45514</v>
      </c>
      <c r="B224">
        <v>2024</v>
      </c>
      <c r="C224">
        <v>8</v>
      </c>
      <c r="D224" t="s">
        <v>8</v>
      </c>
      <c r="E224" t="s">
        <v>80</v>
      </c>
      <c r="F224" t="s">
        <v>111</v>
      </c>
      <c r="G224">
        <v>10</v>
      </c>
      <c r="H224" t="s">
        <v>113</v>
      </c>
      <c r="I224" s="13">
        <v>45535</v>
      </c>
    </row>
    <row r="225" spans="1:9" x14ac:dyDescent="0.3">
      <c r="A225" s="13">
        <v>45515</v>
      </c>
      <c r="B225">
        <v>2024</v>
      </c>
      <c r="C225">
        <v>8</v>
      </c>
      <c r="D225" t="s">
        <v>8</v>
      </c>
      <c r="E225" t="s">
        <v>80</v>
      </c>
      <c r="F225" t="s">
        <v>111</v>
      </c>
      <c r="G225">
        <v>11</v>
      </c>
      <c r="H225" t="s">
        <v>113</v>
      </c>
      <c r="I225" s="13">
        <v>45535</v>
      </c>
    </row>
    <row r="226" spans="1:9" x14ac:dyDescent="0.3">
      <c r="A226" s="13">
        <v>45516</v>
      </c>
      <c r="B226">
        <v>2024</v>
      </c>
      <c r="C226">
        <v>8</v>
      </c>
      <c r="D226" t="s">
        <v>8</v>
      </c>
      <c r="E226" t="s">
        <v>80</v>
      </c>
      <c r="F226" t="s">
        <v>111</v>
      </c>
      <c r="G226">
        <v>12</v>
      </c>
      <c r="H226" t="s">
        <v>113</v>
      </c>
      <c r="I226" s="13">
        <v>45535</v>
      </c>
    </row>
    <row r="227" spans="1:9" x14ac:dyDescent="0.3">
      <c r="A227" s="13">
        <v>45517</v>
      </c>
      <c r="B227">
        <v>2024</v>
      </c>
      <c r="C227">
        <v>8</v>
      </c>
      <c r="D227" t="s">
        <v>8</v>
      </c>
      <c r="E227" t="s">
        <v>80</v>
      </c>
      <c r="F227" t="s">
        <v>111</v>
      </c>
      <c r="G227">
        <v>13</v>
      </c>
      <c r="H227" t="s">
        <v>113</v>
      </c>
      <c r="I227" s="13">
        <v>45535</v>
      </c>
    </row>
    <row r="228" spans="1:9" x14ac:dyDescent="0.3">
      <c r="A228" s="13">
        <v>45518</v>
      </c>
      <c r="B228">
        <v>2024</v>
      </c>
      <c r="C228">
        <v>8</v>
      </c>
      <c r="D228" t="s">
        <v>8</v>
      </c>
      <c r="E228" t="s">
        <v>80</v>
      </c>
      <c r="F228" t="s">
        <v>111</v>
      </c>
      <c r="G228">
        <v>14</v>
      </c>
      <c r="H228" t="s">
        <v>113</v>
      </c>
      <c r="I228" s="13">
        <v>45535</v>
      </c>
    </row>
    <row r="229" spans="1:9" x14ac:dyDescent="0.3">
      <c r="A229" s="13">
        <v>45519</v>
      </c>
      <c r="B229">
        <v>2024</v>
      </c>
      <c r="C229">
        <v>8</v>
      </c>
      <c r="D229" t="s">
        <v>8</v>
      </c>
      <c r="E229" t="s">
        <v>80</v>
      </c>
      <c r="F229" t="s">
        <v>111</v>
      </c>
      <c r="G229">
        <v>15</v>
      </c>
      <c r="H229" t="s">
        <v>113</v>
      </c>
      <c r="I229" s="13">
        <v>45535</v>
      </c>
    </row>
    <row r="230" spans="1:9" x14ac:dyDescent="0.3">
      <c r="A230" s="13">
        <v>45520</v>
      </c>
      <c r="B230">
        <v>2024</v>
      </c>
      <c r="C230">
        <v>8</v>
      </c>
      <c r="D230" t="s">
        <v>8</v>
      </c>
      <c r="E230" t="s">
        <v>80</v>
      </c>
      <c r="F230" t="s">
        <v>111</v>
      </c>
      <c r="G230">
        <v>16</v>
      </c>
      <c r="H230" t="s">
        <v>113</v>
      </c>
      <c r="I230" s="13">
        <v>45535</v>
      </c>
    </row>
    <row r="231" spans="1:9" x14ac:dyDescent="0.3">
      <c r="A231" s="13">
        <v>45521</v>
      </c>
      <c r="B231">
        <v>2024</v>
      </c>
      <c r="C231">
        <v>8</v>
      </c>
      <c r="D231" t="s">
        <v>8</v>
      </c>
      <c r="E231" t="s">
        <v>80</v>
      </c>
      <c r="F231" t="s">
        <v>111</v>
      </c>
      <c r="G231">
        <v>17</v>
      </c>
      <c r="H231" t="s">
        <v>113</v>
      </c>
      <c r="I231" s="13">
        <v>45535</v>
      </c>
    </row>
    <row r="232" spans="1:9" x14ac:dyDescent="0.3">
      <c r="A232" s="13">
        <v>45522</v>
      </c>
      <c r="B232">
        <v>2024</v>
      </c>
      <c r="C232">
        <v>8</v>
      </c>
      <c r="D232" t="s">
        <v>8</v>
      </c>
      <c r="E232" t="s">
        <v>80</v>
      </c>
      <c r="F232" t="s">
        <v>111</v>
      </c>
      <c r="G232">
        <v>18</v>
      </c>
      <c r="H232" t="s">
        <v>113</v>
      </c>
      <c r="I232" s="13">
        <v>45535</v>
      </c>
    </row>
    <row r="233" spans="1:9" x14ac:dyDescent="0.3">
      <c r="A233" s="13">
        <v>45523</v>
      </c>
      <c r="B233">
        <v>2024</v>
      </c>
      <c r="C233">
        <v>8</v>
      </c>
      <c r="D233" t="s">
        <v>8</v>
      </c>
      <c r="E233" t="s">
        <v>80</v>
      </c>
      <c r="F233" t="s">
        <v>111</v>
      </c>
      <c r="G233">
        <v>19</v>
      </c>
      <c r="H233" t="s">
        <v>113</v>
      </c>
      <c r="I233" s="13">
        <v>45535</v>
      </c>
    </row>
    <row r="234" spans="1:9" x14ac:dyDescent="0.3">
      <c r="A234" s="13">
        <v>45524</v>
      </c>
      <c r="B234">
        <v>2024</v>
      </c>
      <c r="C234">
        <v>8</v>
      </c>
      <c r="D234" t="s">
        <v>8</v>
      </c>
      <c r="E234" t="s">
        <v>80</v>
      </c>
      <c r="F234" t="s">
        <v>111</v>
      </c>
      <c r="G234">
        <v>20</v>
      </c>
      <c r="H234" t="s">
        <v>113</v>
      </c>
      <c r="I234" s="13">
        <v>45535</v>
      </c>
    </row>
    <row r="235" spans="1:9" x14ac:dyDescent="0.3">
      <c r="A235" s="13">
        <v>45525</v>
      </c>
      <c r="B235">
        <v>2024</v>
      </c>
      <c r="C235">
        <v>8</v>
      </c>
      <c r="D235" t="s">
        <v>8</v>
      </c>
      <c r="E235" t="s">
        <v>80</v>
      </c>
      <c r="F235" t="s">
        <v>111</v>
      </c>
      <c r="G235">
        <v>21</v>
      </c>
      <c r="H235" t="s">
        <v>113</v>
      </c>
      <c r="I235" s="13">
        <v>45535</v>
      </c>
    </row>
    <row r="236" spans="1:9" x14ac:dyDescent="0.3">
      <c r="A236" s="13">
        <v>45526</v>
      </c>
      <c r="B236">
        <v>2024</v>
      </c>
      <c r="C236">
        <v>8</v>
      </c>
      <c r="D236" t="s">
        <v>8</v>
      </c>
      <c r="E236" t="s">
        <v>80</v>
      </c>
      <c r="F236" t="s">
        <v>111</v>
      </c>
      <c r="G236">
        <v>22</v>
      </c>
      <c r="H236" t="s">
        <v>113</v>
      </c>
      <c r="I236" s="13">
        <v>45535</v>
      </c>
    </row>
    <row r="237" spans="1:9" x14ac:dyDescent="0.3">
      <c r="A237" s="13">
        <v>45527</v>
      </c>
      <c r="B237">
        <v>2024</v>
      </c>
      <c r="C237">
        <v>8</v>
      </c>
      <c r="D237" t="s">
        <v>8</v>
      </c>
      <c r="E237" t="s">
        <v>80</v>
      </c>
      <c r="F237" t="s">
        <v>111</v>
      </c>
      <c r="G237">
        <v>23</v>
      </c>
      <c r="H237" t="s">
        <v>113</v>
      </c>
      <c r="I237" s="13">
        <v>45535</v>
      </c>
    </row>
    <row r="238" spans="1:9" x14ac:dyDescent="0.3">
      <c r="A238" s="13">
        <v>45528</v>
      </c>
      <c r="B238">
        <v>2024</v>
      </c>
      <c r="C238">
        <v>8</v>
      </c>
      <c r="D238" t="s">
        <v>8</v>
      </c>
      <c r="E238" t="s">
        <v>80</v>
      </c>
      <c r="F238" t="s">
        <v>111</v>
      </c>
      <c r="G238">
        <v>24</v>
      </c>
      <c r="H238" t="s">
        <v>113</v>
      </c>
      <c r="I238" s="13">
        <v>45535</v>
      </c>
    </row>
    <row r="239" spans="1:9" x14ac:dyDescent="0.3">
      <c r="A239" s="13">
        <v>45529</v>
      </c>
      <c r="B239">
        <v>2024</v>
      </c>
      <c r="C239">
        <v>8</v>
      </c>
      <c r="D239" t="s">
        <v>8</v>
      </c>
      <c r="E239" t="s">
        <v>80</v>
      </c>
      <c r="F239" t="s">
        <v>111</v>
      </c>
      <c r="G239">
        <v>25</v>
      </c>
      <c r="H239" t="s">
        <v>113</v>
      </c>
      <c r="I239" s="13">
        <v>45535</v>
      </c>
    </row>
    <row r="240" spans="1:9" x14ac:dyDescent="0.3">
      <c r="A240" s="13">
        <v>45530</v>
      </c>
      <c r="B240">
        <v>2024</v>
      </c>
      <c r="C240">
        <v>8</v>
      </c>
      <c r="D240" t="s">
        <v>8</v>
      </c>
      <c r="E240" t="s">
        <v>80</v>
      </c>
      <c r="F240" t="s">
        <v>111</v>
      </c>
      <c r="G240">
        <v>26</v>
      </c>
      <c r="H240" t="s">
        <v>113</v>
      </c>
      <c r="I240" s="13">
        <v>45535</v>
      </c>
    </row>
    <row r="241" spans="1:9" x14ac:dyDescent="0.3">
      <c r="A241" s="13">
        <v>45531</v>
      </c>
      <c r="B241">
        <v>2024</v>
      </c>
      <c r="C241">
        <v>8</v>
      </c>
      <c r="D241" t="s">
        <v>8</v>
      </c>
      <c r="E241" t="s">
        <v>80</v>
      </c>
      <c r="F241" t="s">
        <v>111</v>
      </c>
      <c r="G241">
        <v>27</v>
      </c>
      <c r="H241" t="s">
        <v>113</v>
      </c>
      <c r="I241" s="13">
        <v>45535</v>
      </c>
    </row>
    <row r="242" spans="1:9" x14ac:dyDescent="0.3">
      <c r="A242" s="13">
        <v>45532</v>
      </c>
      <c r="B242">
        <v>2024</v>
      </c>
      <c r="C242">
        <v>8</v>
      </c>
      <c r="D242" t="s">
        <v>8</v>
      </c>
      <c r="E242" t="s">
        <v>80</v>
      </c>
      <c r="F242" t="s">
        <v>111</v>
      </c>
      <c r="G242">
        <v>28</v>
      </c>
      <c r="H242" t="s">
        <v>113</v>
      </c>
      <c r="I242" s="13">
        <v>45535</v>
      </c>
    </row>
    <row r="243" spans="1:9" x14ac:dyDescent="0.3">
      <c r="A243" s="13">
        <v>45533</v>
      </c>
      <c r="B243">
        <v>2024</v>
      </c>
      <c r="C243">
        <v>8</v>
      </c>
      <c r="D243" t="s">
        <v>8</v>
      </c>
      <c r="E243" t="s">
        <v>80</v>
      </c>
      <c r="F243" t="s">
        <v>111</v>
      </c>
      <c r="G243">
        <v>29</v>
      </c>
      <c r="H243" t="s">
        <v>113</v>
      </c>
      <c r="I243" s="13">
        <v>45535</v>
      </c>
    </row>
    <row r="244" spans="1:9" x14ac:dyDescent="0.3">
      <c r="A244" s="13">
        <v>45534</v>
      </c>
      <c r="B244">
        <v>2024</v>
      </c>
      <c r="C244">
        <v>8</v>
      </c>
      <c r="D244" t="s">
        <v>8</v>
      </c>
      <c r="E244" t="s">
        <v>80</v>
      </c>
      <c r="F244" t="s">
        <v>111</v>
      </c>
      <c r="G244">
        <v>30</v>
      </c>
      <c r="H244" t="s">
        <v>113</v>
      </c>
      <c r="I244" s="13">
        <v>45535</v>
      </c>
    </row>
    <row r="245" spans="1:9" x14ac:dyDescent="0.3">
      <c r="A245" s="13">
        <v>45535</v>
      </c>
      <c r="B245">
        <v>2024</v>
      </c>
      <c r="C245">
        <v>8</v>
      </c>
      <c r="D245" t="s">
        <v>8</v>
      </c>
      <c r="E245" t="s">
        <v>80</v>
      </c>
      <c r="F245" t="s">
        <v>111</v>
      </c>
      <c r="G245">
        <v>31</v>
      </c>
      <c r="H245" t="s">
        <v>113</v>
      </c>
      <c r="I245" s="13">
        <v>45535</v>
      </c>
    </row>
    <row r="246" spans="1:9" x14ac:dyDescent="0.3">
      <c r="A246" s="13">
        <v>45536</v>
      </c>
      <c r="B246">
        <v>2024</v>
      </c>
      <c r="C246">
        <v>9</v>
      </c>
      <c r="D246" t="s">
        <v>9</v>
      </c>
      <c r="E246" t="s">
        <v>81</v>
      </c>
      <c r="F246" t="s">
        <v>111</v>
      </c>
      <c r="G246">
        <v>1</v>
      </c>
      <c r="H246" t="s">
        <v>114</v>
      </c>
      <c r="I246" s="13">
        <v>45565</v>
      </c>
    </row>
    <row r="247" spans="1:9" x14ac:dyDescent="0.3">
      <c r="A247" s="13">
        <v>45537</v>
      </c>
      <c r="B247">
        <v>2024</v>
      </c>
      <c r="C247">
        <v>9</v>
      </c>
      <c r="D247" t="s">
        <v>9</v>
      </c>
      <c r="E247" t="s">
        <v>81</v>
      </c>
      <c r="F247" t="s">
        <v>111</v>
      </c>
      <c r="G247">
        <v>2</v>
      </c>
      <c r="H247" t="s">
        <v>114</v>
      </c>
      <c r="I247" s="13">
        <v>45565</v>
      </c>
    </row>
    <row r="248" spans="1:9" x14ac:dyDescent="0.3">
      <c r="A248" s="13">
        <v>45538</v>
      </c>
      <c r="B248">
        <v>2024</v>
      </c>
      <c r="C248">
        <v>9</v>
      </c>
      <c r="D248" t="s">
        <v>9</v>
      </c>
      <c r="E248" t="s">
        <v>81</v>
      </c>
      <c r="F248" t="s">
        <v>111</v>
      </c>
      <c r="G248">
        <v>3</v>
      </c>
      <c r="H248" t="s">
        <v>114</v>
      </c>
      <c r="I248" s="13">
        <v>45565</v>
      </c>
    </row>
    <row r="249" spans="1:9" x14ac:dyDescent="0.3">
      <c r="A249" s="13">
        <v>45539</v>
      </c>
      <c r="B249">
        <v>2024</v>
      </c>
      <c r="C249">
        <v>9</v>
      </c>
      <c r="D249" t="s">
        <v>9</v>
      </c>
      <c r="E249" t="s">
        <v>81</v>
      </c>
      <c r="F249" t="s">
        <v>111</v>
      </c>
      <c r="G249">
        <v>4</v>
      </c>
      <c r="H249" t="s">
        <v>114</v>
      </c>
      <c r="I249" s="13">
        <v>45565</v>
      </c>
    </row>
    <row r="250" spans="1:9" x14ac:dyDescent="0.3">
      <c r="A250" s="13">
        <v>45540</v>
      </c>
      <c r="B250">
        <v>2024</v>
      </c>
      <c r="C250">
        <v>9</v>
      </c>
      <c r="D250" t="s">
        <v>9</v>
      </c>
      <c r="E250" t="s">
        <v>81</v>
      </c>
      <c r="F250" t="s">
        <v>111</v>
      </c>
      <c r="G250">
        <v>5</v>
      </c>
      <c r="H250" t="s">
        <v>114</v>
      </c>
      <c r="I250" s="13">
        <v>45565</v>
      </c>
    </row>
    <row r="251" spans="1:9" x14ac:dyDescent="0.3">
      <c r="A251" s="13">
        <v>45541</v>
      </c>
      <c r="B251">
        <v>2024</v>
      </c>
      <c r="C251">
        <v>9</v>
      </c>
      <c r="D251" t="s">
        <v>9</v>
      </c>
      <c r="E251" t="s">
        <v>81</v>
      </c>
      <c r="F251" t="s">
        <v>111</v>
      </c>
      <c r="G251">
        <v>6</v>
      </c>
      <c r="H251" t="s">
        <v>114</v>
      </c>
      <c r="I251" s="13">
        <v>45565</v>
      </c>
    </row>
    <row r="252" spans="1:9" x14ac:dyDescent="0.3">
      <c r="A252" s="13">
        <v>45542</v>
      </c>
      <c r="B252">
        <v>2024</v>
      </c>
      <c r="C252">
        <v>9</v>
      </c>
      <c r="D252" t="s">
        <v>9</v>
      </c>
      <c r="E252" t="s">
        <v>81</v>
      </c>
      <c r="F252" t="s">
        <v>111</v>
      </c>
      <c r="G252">
        <v>7</v>
      </c>
      <c r="H252" t="s">
        <v>114</v>
      </c>
      <c r="I252" s="13">
        <v>45565</v>
      </c>
    </row>
    <row r="253" spans="1:9" x14ac:dyDescent="0.3">
      <c r="A253" s="13">
        <v>45543</v>
      </c>
      <c r="B253">
        <v>2024</v>
      </c>
      <c r="C253">
        <v>9</v>
      </c>
      <c r="D253" t="s">
        <v>9</v>
      </c>
      <c r="E253" t="s">
        <v>81</v>
      </c>
      <c r="F253" t="s">
        <v>111</v>
      </c>
      <c r="G253">
        <v>8</v>
      </c>
      <c r="H253" t="s">
        <v>114</v>
      </c>
      <c r="I253" s="13">
        <v>45565</v>
      </c>
    </row>
    <row r="254" spans="1:9" x14ac:dyDescent="0.3">
      <c r="A254" s="13">
        <v>45544</v>
      </c>
      <c r="B254">
        <v>2024</v>
      </c>
      <c r="C254">
        <v>9</v>
      </c>
      <c r="D254" t="s">
        <v>9</v>
      </c>
      <c r="E254" t="s">
        <v>81</v>
      </c>
      <c r="F254" t="s">
        <v>111</v>
      </c>
      <c r="G254">
        <v>9</v>
      </c>
      <c r="H254" t="s">
        <v>114</v>
      </c>
      <c r="I254" s="13">
        <v>45565</v>
      </c>
    </row>
    <row r="255" spans="1:9" x14ac:dyDescent="0.3">
      <c r="A255" s="13">
        <v>45545</v>
      </c>
      <c r="B255">
        <v>2024</v>
      </c>
      <c r="C255">
        <v>9</v>
      </c>
      <c r="D255" t="s">
        <v>9</v>
      </c>
      <c r="E255" t="s">
        <v>81</v>
      </c>
      <c r="F255" t="s">
        <v>111</v>
      </c>
      <c r="G255">
        <v>10</v>
      </c>
      <c r="H255" t="s">
        <v>114</v>
      </c>
      <c r="I255" s="13">
        <v>45565</v>
      </c>
    </row>
    <row r="256" spans="1:9" x14ac:dyDescent="0.3">
      <c r="A256" s="13">
        <v>45546</v>
      </c>
      <c r="B256">
        <v>2024</v>
      </c>
      <c r="C256">
        <v>9</v>
      </c>
      <c r="D256" t="s">
        <v>9</v>
      </c>
      <c r="E256" t="s">
        <v>81</v>
      </c>
      <c r="F256" t="s">
        <v>111</v>
      </c>
      <c r="G256">
        <v>11</v>
      </c>
      <c r="H256" t="s">
        <v>114</v>
      </c>
      <c r="I256" s="13">
        <v>45565</v>
      </c>
    </row>
    <row r="257" spans="1:9" x14ac:dyDescent="0.3">
      <c r="A257" s="13">
        <v>45547</v>
      </c>
      <c r="B257">
        <v>2024</v>
      </c>
      <c r="C257">
        <v>9</v>
      </c>
      <c r="D257" t="s">
        <v>9</v>
      </c>
      <c r="E257" t="s">
        <v>81</v>
      </c>
      <c r="F257" t="s">
        <v>111</v>
      </c>
      <c r="G257">
        <v>12</v>
      </c>
      <c r="H257" t="s">
        <v>114</v>
      </c>
      <c r="I257" s="13">
        <v>45565</v>
      </c>
    </row>
    <row r="258" spans="1:9" x14ac:dyDescent="0.3">
      <c r="A258" s="13">
        <v>45548</v>
      </c>
      <c r="B258">
        <v>2024</v>
      </c>
      <c r="C258">
        <v>9</v>
      </c>
      <c r="D258" t="s">
        <v>9</v>
      </c>
      <c r="E258" t="s">
        <v>81</v>
      </c>
      <c r="F258" t="s">
        <v>111</v>
      </c>
      <c r="G258">
        <v>13</v>
      </c>
      <c r="H258" t="s">
        <v>114</v>
      </c>
      <c r="I258" s="13">
        <v>45565</v>
      </c>
    </row>
    <row r="259" spans="1:9" x14ac:dyDescent="0.3">
      <c r="A259" s="13">
        <v>45549</v>
      </c>
      <c r="B259">
        <v>2024</v>
      </c>
      <c r="C259">
        <v>9</v>
      </c>
      <c r="D259" t="s">
        <v>9</v>
      </c>
      <c r="E259" t="s">
        <v>81</v>
      </c>
      <c r="F259" t="s">
        <v>111</v>
      </c>
      <c r="G259">
        <v>14</v>
      </c>
      <c r="H259" t="s">
        <v>114</v>
      </c>
      <c r="I259" s="13">
        <v>45565</v>
      </c>
    </row>
    <row r="260" spans="1:9" x14ac:dyDescent="0.3">
      <c r="A260" s="13">
        <v>45550</v>
      </c>
      <c r="B260">
        <v>2024</v>
      </c>
      <c r="C260">
        <v>9</v>
      </c>
      <c r="D260" t="s">
        <v>9</v>
      </c>
      <c r="E260" t="s">
        <v>81</v>
      </c>
      <c r="F260" t="s">
        <v>111</v>
      </c>
      <c r="G260">
        <v>15</v>
      </c>
      <c r="H260" t="s">
        <v>114</v>
      </c>
      <c r="I260" s="13">
        <v>45565</v>
      </c>
    </row>
    <row r="261" spans="1:9" x14ac:dyDescent="0.3">
      <c r="A261" s="13">
        <v>45551</v>
      </c>
      <c r="B261">
        <v>2024</v>
      </c>
      <c r="C261">
        <v>9</v>
      </c>
      <c r="D261" t="s">
        <v>9</v>
      </c>
      <c r="E261" t="s">
        <v>81</v>
      </c>
      <c r="F261" t="s">
        <v>111</v>
      </c>
      <c r="G261">
        <v>16</v>
      </c>
      <c r="H261" t="s">
        <v>114</v>
      </c>
      <c r="I261" s="13">
        <v>45565</v>
      </c>
    </row>
    <row r="262" spans="1:9" x14ac:dyDescent="0.3">
      <c r="A262" s="13">
        <v>45552</v>
      </c>
      <c r="B262">
        <v>2024</v>
      </c>
      <c r="C262">
        <v>9</v>
      </c>
      <c r="D262" t="s">
        <v>9</v>
      </c>
      <c r="E262" t="s">
        <v>81</v>
      </c>
      <c r="F262" t="s">
        <v>111</v>
      </c>
      <c r="G262">
        <v>17</v>
      </c>
      <c r="H262" t="s">
        <v>114</v>
      </c>
      <c r="I262" s="13">
        <v>45565</v>
      </c>
    </row>
    <row r="263" spans="1:9" x14ac:dyDescent="0.3">
      <c r="A263" s="13">
        <v>45553</v>
      </c>
      <c r="B263">
        <v>2024</v>
      </c>
      <c r="C263">
        <v>9</v>
      </c>
      <c r="D263" t="s">
        <v>9</v>
      </c>
      <c r="E263" t="s">
        <v>81</v>
      </c>
      <c r="F263" t="s">
        <v>111</v>
      </c>
      <c r="G263">
        <v>18</v>
      </c>
      <c r="H263" t="s">
        <v>114</v>
      </c>
      <c r="I263" s="13">
        <v>45565</v>
      </c>
    </row>
    <row r="264" spans="1:9" x14ac:dyDescent="0.3">
      <c r="A264" s="13">
        <v>45554</v>
      </c>
      <c r="B264">
        <v>2024</v>
      </c>
      <c r="C264">
        <v>9</v>
      </c>
      <c r="D264" t="s">
        <v>9</v>
      </c>
      <c r="E264" t="s">
        <v>81</v>
      </c>
      <c r="F264" t="s">
        <v>111</v>
      </c>
      <c r="G264">
        <v>19</v>
      </c>
      <c r="H264" t="s">
        <v>114</v>
      </c>
      <c r="I264" s="13">
        <v>45565</v>
      </c>
    </row>
    <row r="265" spans="1:9" x14ac:dyDescent="0.3">
      <c r="A265" s="13">
        <v>45555</v>
      </c>
      <c r="B265">
        <v>2024</v>
      </c>
      <c r="C265">
        <v>9</v>
      </c>
      <c r="D265" t="s">
        <v>9</v>
      </c>
      <c r="E265" t="s">
        <v>81</v>
      </c>
      <c r="F265" t="s">
        <v>111</v>
      </c>
      <c r="G265">
        <v>20</v>
      </c>
      <c r="H265" t="s">
        <v>114</v>
      </c>
      <c r="I265" s="13">
        <v>45565</v>
      </c>
    </row>
    <row r="266" spans="1:9" x14ac:dyDescent="0.3">
      <c r="A266" s="13">
        <v>45556</v>
      </c>
      <c r="B266">
        <v>2024</v>
      </c>
      <c r="C266">
        <v>9</v>
      </c>
      <c r="D266" t="s">
        <v>9</v>
      </c>
      <c r="E266" t="s">
        <v>81</v>
      </c>
      <c r="F266" t="s">
        <v>111</v>
      </c>
      <c r="G266">
        <v>21</v>
      </c>
      <c r="H266" t="s">
        <v>114</v>
      </c>
      <c r="I266" s="13">
        <v>45565</v>
      </c>
    </row>
    <row r="267" spans="1:9" x14ac:dyDescent="0.3">
      <c r="A267" s="13">
        <v>45557</v>
      </c>
      <c r="B267">
        <v>2024</v>
      </c>
      <c r="C267">
        <v>9</v>
      </c>
      <c r="D267" t="s">
        <v>9</v>
      </c>
      <c r="E267" t="s">
        <v>81</v>
      </c>
      <c r="F267" t="s">
        <v>111</v>
      </c>
      <c r="G267">
        <v>22</v>
      </c>
      <c r="H267" t="s">
        <v>114</v>
      </c>
      <c r="I267" s="13">
        <v>45565</v>
      </c>
    </row>
    <row r="268" spans="1:9" x14ac:dyDescent="0.3">
      <c r="A268" s="13">
        <v>45558</v>
      </c>
      <c r="B268">
        <v>2024</v>
      </c>
      <c r="C268">
        <v>9</v>
      </c>
      <c r="D268" t="s">
        <v>9</v>
      </c>
      <c r="E268" t="s">
        <v>81</v>
      </c>
      <c r="F268" t="s">
        <v>111</v>
      </c>
      <c r="G268">
        <v>23</v>
      </c>
      <c r="H268" t="s">
        <v>114</v>
      </c>
      <c r="I268" s="13">
        <v>45565</v>
      </c>
    </row>
    <row r="269" spans="1:9" x14ac:dyDescent="0.3">
      <c r="A269" s="13">
        <v>45559</v>
      </c>
      <c r="B269">
        <v>2024</v>
      </c>
      <c r="C269">
        <v>9</v>
      </c>
      <c r="D269" t="s">
        <v>9</v>
      </c>
      <c r="E269" t="s">
        <v>81</v>
      </c>
      <c r="F269" t="s">
        <v>111</v>
      </c>
      <c r="G269">
        <v>24</v>
      </c>
      <c r="H269" t="s">
        <v>114</v>
      </c>
      <c r="I269" s="13">
        <v>45565</v>
      </c>
    </row>
    <row r="270" spans="1:9" x14ac:dyDescent="0.3">
      <c r="A270" s="13">
        <v>45560</v>
      </c>
      <c r="B270">
        <v>2024</v>
      </c>
      <c r="C270">
        <v>9</v>
      </c>
      <c r="D270" t="s">
        <v>9</v>
      </c>
      <c r="E270" t="s">
        <v>81</v>
      </c>
      <c r="F270" t="s">
        <v>111</v>
      </c>
      <c r="G270">
        <v>25</v>
      </c>
      <c r="H270" t="s">
        <v>114</v>
      </c>
      <c r="I270" s="13">
        <v>45565</v>
      </c>
    </row>
    <row r="271" spans="1:9" x14ac:dyDescent="0.3">
      <c r="A271" s="13">
        <v>45561</v>
      </c>
      <c r="B271">
        <v>2024</v>
      </c>
      <c r="C271">
        <v>9</v>
      </c>
      <c r="D271" t="s">
        <v>9</v>
      </c>
      <c r="E271" t="s">
        <v>81</v>
      </c>
      <c r="F271" t="s">
        <v>111</v>
      </c>
      <c r="G271">
        <v>26</v>
      </c>
      <c r="H271" t="s">
        <v>114</v>
      </c>
      <c r="I271" s="13">
        <v>45565</v>
      </c>
    </row>
    <row r="272" spans="1:9" x14ac:dyDescent="0.3">
      <c r="A272" s="13">
        <v>45562</v>
      </c>
      <c r="B272">
        <v>2024</v>
      </c>
      <c r="C272">
        <v>9</v>
      </c>
      <c r="D272" t="s">
        <v>9</v>
      </c>
      <c r="E272" t="s">
        <v>81</v>
      </c>
      <c r="F272" t="s">
        <v>111</v>
      </c>
      <c r="G272">
        <v>27</v>
      </c>
      <c r="H272" t="s">
        <v>114</v>
      </c>
      <c r="I272" s="13">
        <v>45565</v>
      </c>
    </row>
    <row r="273" spans="1:9" x14ac:dyDescent="0.3">
      <c r="A273" s="13">
        <v>45563</v>
      </c>
      <c r="B273">
        <v>2024</v>
      </c>
      <c r="C273">
        <v>9</v>
      </c>
      <c r="D273" t="s">
        <v>9</v>
      </c>
      <c r="E273" t="s">
        <v>81</v>
      </c>
      <c r="F273" t="s">
        <v>111</v>
      </c>
      <c r="G273">
        <v>28</v>
      </c>
      <c r="H273" t="s">
        <v>114</v>
      </c>
      <c r="I273" s="13">
        <v>45565</v>
      </c>
    </row>
    <row r="274" spans="1:9" x14ac:dyDescent="0.3">
      <c r="A274" s="13">
        <v>45564</v>
      </c>
      <c r="B274">
        <v>2024</v>
      </c>
      <c r="C274">
        <v>9</v>
      </c>
      <c r="D274" t="s">
        <v>9</v>
      </c>
      <c r="E274" t="s">
        <v>81</v>
      </c>
      <c r="F274" t="s">
        <v>111</v>
      </c>
      <c r="G274">
        <v>29</v>
      </c>
      <c r="H274" t="s">
        <v>114</v>
      </c>
      <c r="I274" s="13">
        <v>45565</v>
      </c>
    </row>
    <row r="275" spans="1:9" x14ac:dyDescent="0.3">
      <c r="A275" s="13">
        <v>45565</v>
      </c>
      <c r="B275">
        <v>2024</v>
      </c>
      <c r="C275">
        <v>9</v>
      </c>
      <c r="D275" t="s">
        <v>9</v>
      </c>
      <c r="E275" t="s">
        <v>81</v>
      </c>
      <c r="F275" t="s">
        <v>111</v>
      </c>
      <c r="G275">
        <v>30</v>
      </c>
      <c r="H275" t="s">
        <v>114</v>
      </c>
      <c r="I275" s="13">
        <v>45565</v>
      </c>
    </row>
    <row r="276" spans="1:9" x14ac:dyDescent="0.3">
      <c r="A276" s="13">
        <v>45566</v>
      </c>
      <c r="B276">
        <v>2024</v>
      </c>
      <c r="C276">
        <v>10</v>
      </c>
      <c r="D276" t="s">
        <v>10</v>
      </c>
      <c r="E276" t="s">
        <v>82</v>
      </c>
      <c r="F276" t="s">
        <v>115</v>
      </c>
      <c r="G276">
        <v>1</v>
      </c>
      <c r="H276" t="s">
        <v>116</v>
      </c>
      <c r="I276" s="13">
        <v>45596</v>
      </c>
    </row>
    <row r="277" spans="1:9" x14ac:dyDescent="0.3">
      <c r="A277" s="13">
        <v>45567</v>
      </c>
      <c r="B277">
        <v>2024</v>
      </c>
      <c r="C277">
        <v>10</v>
      </c>
      <c r="D277" t="s">
        <v>10</v>
      </c>
      <c r="E277" t="s">
        <v>82</v>
      </c>
      <c r="F277" t="s">
        <v>115</v>
      </c>
      <c r="G277">
        <v>2</v>
      </c>
      <c r="H277" t="s">
        <v>116</v>
      </c>
      <c r="I277" s="13">
        <v>45596</v>
      </c>
    </row>
    <row r="278" spans="1:9" x14ac:dyDescent="0.3">
      <c r="A278" s="13">
        <v>45568</v>
      </c>
      <c r="B278">
        <v>2024</v>
      </c>
      <c r="C278">
        <v>10</v>
      </c>
      <c r="D278" t="s">
        <v>10</v>
      </c>
      <c r="E278" t="s">
        <v>82</v>
      </c>
      <c r="F278" t="s">
        <v>115</v>
      </c>
      <c r="G278">
        <v>3</v>
      </c>
      <c r="H278" t="s">
        <v>116</v>
      </c>
      <c r="I278" s="13">
        <v>45596</v>
      </c>
    </row>
    <row r="279" spans="1:9" x14ac:dyDescent="0.3">
      <c r="A279" s="13">
        <v>45569</v>
      </c>
      <c r="B279">
        <v>2024</v>
      </c>
      <c r="C279">
        <v>10</v>
      </c>
      <c r="D279" t="s">
        <v>10</v>
      </c>
      <c r="E279" t="s">
        <v>82</v>
      </c>
      <c r="F279" t="s">
        <v>115</v>
      </c>
      <c r="G279">
        <v>4</v>
      </c>
      <c r="H279" t="s">
        <v>116</v>
      </c>
      <c r="I279" s="13">
        <v>45596</v>
      </c>
    </row>
    <row r="280" spans="1:9" x14ac:dyDescent="0.3">
      <c r="A280" s="13">
        <v>45570</v>
      </c>
      <c r="B280">
        <v>2024</v>
      </c>
      <c r="C280">
        <v>10</v>
      </c>
      <c r="D280" t="s">
        <v>10</v>
      </c>
      <c r="E280" t="s">
        <v>82</v>
      </c>
      <c r="F280" t="s">
        <v>115</v>
      </c>
      <c r="G280">
        <v>5</v>
      </c>
      <c r="H280" t="s">
        <v>116</v>
      </c>
      <c r="I280" s="13">
        <v>45596</v>
      </c>
    </row>
    <row r="281" spans="1:9" x14ac:dyDescent="0.3">
      <c r="A281" s="13">
        <v>45571</v>
      </c>
      <c r="B281">
        <v>2024</v>
      </c>
      <c r="C281">
        <v>10</v>
      </c>
      <c r="D281" t="s">
        <v>10</v>
      </c>
      <c r="E281" t="s">
        <v>82</v>
      </c>
      <c r="F281" t="s">
        <v>115</v>
      </c>
      <c r="G281">
        <v>6</v>
      </c>
      <c r="H281" t="s">
        <v>116</v>
      </c>
      <c r="I281" s="13">
        <v>45596</v>
      </c>
    </row>
    <row r="282" spans="1:9" x14ac:dyDescent="0.3">
      <c r="A282" s="13">
        <v>45572</v>
      </c>
      <c r="B282">
        <v>2024</v>
      </c>
      <c r="C282">
        <v>10</v>
      </c>
      <c r="D282" t="s">
        <v>10</v>
      </c>
      <c r="E282" t="s">
        <v>82</v>
      </c>
      <c r="F282" t="s">
        <v>115</v>
      </c>
      <c r="G282">
        <v>7</v>
      </c>
      <c r="H282" t="s">
        <v>116</v>
      </c>
      <c r="I282" s="13">
        <v>45596</v>
      </c>
    </row>
    <row r="283" spans="1:9" x14ac:dyDescent="0.3">
      <c r="A283" s="13">
        <v>45573</v>
      </c>
      <c r="B283">
        <v>2024</v>
      </c>
      <c r="C283">
        <v>10</v>
      </c>
      <c r="D283" t="s">
        <v>10</v>
      </c>
      <c r="E283" t="s">
        <v>82</v>
      </c>
      <c r="F283" t="s">
        <v>115</v>
      </c>
      <c r="G283">
        <v>8</v>
      </c>
      <c r="H283" t="s">
        <v>116</v>
      </c>
      <c r="I283" s="13">
        <v>45596</v>
      </c>
    </row>
    <row r="284" spans="1:9" x14ac:dyDescent="0.3">
      <c r="A284" s="13">
        <v>45574</v>
      </c>
      <c r="B284">
        <v>2024</v>
      </c>
      <c r="C284">
        <v>10</v>
      </c>
      <c r="D284" t="s">
        <v>10</v>
      </c>
      <c r="E284" t="s">
        <v>82</v>
      </c>
      <c r="F284" t="s">
        <v>115</v>
      </c>
      <c r="G284">
        <v>9</v>
      </c>
      <c r="H284" t="s">
        <v>116</v>
      </c>
      <c r="I284" s="13">
        <v>45596</v>
      </c>
    </row>
    <row r="285" spans="1:9" x14ac:dyDescent="0.3">
      <c r="A285" s="13">
        <v>45575</v>
      </c>
      <c r="B285">
        <v>2024</v>
      </c>
      <c r="C285">
        <v>10</v>
      </c>
      <c r="D285" t="s">
        <v>10</v>
      </c>
      <c r="E285" t="s">
        <v>82</v>
      </c>
      <c r="F285" t="s">
        <v>115</v>
      </c>
      <c r="G285">
        <v>10</v>
      </c>
      <c r="H285" t="s">
        <v>116</v>
      </c>
      <c r="I285" s="13">
        <v>45596</v>
      </c>
    </row>
    <row r="286" spans="1:9" x14ac:dyDescent="0.3">
      <c r="A286" s="13">
        <v>45576</v>
      </c>
      <c r="B286">
        <v>2024</v>
      </c>
      <c r="C286">
        <v>10</v>
      </c>
      <c r="D286" t="s">
        <v>10</v>
      </c>
      <c r="E286" t="s">
        <v>82</v>
      </c>
      <c r="F286" t="s">
        <v>115</v>
      </c>
      <c r="G286">
        <v>11</v>
      </c>
      <c r="H286" t="s">
        <v>116</v>
      </c>
      <c r="I286" s="13">
        <v>45596</v>
      </c>
    </row>
    <row r="287" spans="1:9" x14ac:dyDescent="0.3">
      <c r="A287" s="13">
        <v>45577</v>
      </c>
      <c r="B287">
        <v>2024</v>
      </c>
      <c r="C287">
        <v>10</v>
      </c>
      <c r="D287" t="s">
        <v>10</v>
      </c>
      <c r="E287" t="s">
        <v>82</v>
      </c>
      <c r="F287" t="s">
        <v>115</v>
      </c>
      <c r="G287">
        <v>12</v>
      </c>
      <c r="H287" t="s">
        <v>116</v>
      </c>
      <c r="I287" s="13">
        <v>45596</v>
      </c>
    </row>
    <row r="288" spans="1:9" x14ac:dyDescent="0.3">
      <c r="A288" s="13">
        <v>45578</v>
      </c>
      <c r="B288">
        <v>2024</v>
      </c>
      <c r="C288">
        <v>10</v>
      </c>
      <c r="D288" t="s">
        <v>10</v>
      </c>
      <c r="E288" t="s">
        <v>82</v>
      </c>
      <c r="F288" t="s">
        <v>115</v>
      </c>
      <c r="G288">
        <v>13</v>
      </c>
      <c r="H288" t="s">
        <v>116</v>
      </c>
      <c r="I288" s="13">
        <v>45596</v>
      </c>
    </row>
    <row r="289" spans="1:9" x14ac:dyDescent="0.3">
      <c r="A289" s="13">
        <v>45579</v>
      </c>
      <c r="B289">
        <v>2024</v>
      </c>
      <c r="C289">
        <v>10</v>
      </c>
      <c r="D289" t="s">
        <v>10</v>
      </c>
      <c r="E289" t="s">
        <v>82</v>
      </c>
      <c r="F289" t="s">
        <v>115</v>
      </c>
      <c r="G289">
        <v>14</v>
      </c>
      <c r="H289" t="s">
        <v>116</v>
      </c>
      <c r="I289" s="13">
        <v>45596</v>
      </c>
    </row>
    <row r="290" spans="1:9" x14ac:dyDescent="0.3">
      <c r="A290" s="13">
        <v>45580</v>
      </c>
      <c r="B290">
        <v>2024</v>
      </c>
      <c r="C290">
        <v>10</v>
      </c>
      <c r="D290" t="s">
        <v>10</v>
      </c>
      <c r="E290" t="s">
        <v>82</v>
      </c>
      <c r="F290" t="s">
        <v>115</v>
      </c>
      <c r="G290">
        <v>15</v>
      </c>
      <c r="H290" t="s">
        <v>116</v>
      </c>
      <c r="I290" s="13">
        <v>45596</v>
      </c>
    </row>
    <row r="291" spans="1:9" x14ac:dyDescent="0.3">
      <c r="A291" s="13">
        <v>45581</v>
      </c>
      <c r="B291">
        <v>2024</v>
      </c>
      <c r="C291">
        <v>10</v>
      </c>
      <c r="D291" t="s">
        <v>10</v>
      </c>
      <c r="E291" t="s">
        <v>82</v>
      </c>
      <c r="F291" t="s">
        <v>115</v>
      </c>
      <c r="G291">
        <v>16</v>
      </c>
      <c r="H291" t="s">
        <v>116</v>
      </c>
      <c r="I291" s="13">
        <v>45596</v>
      </c>
    </row>
    <row r="292" spans="1:9" x14ac:dyDescent="0.3">
      <c r="A292" s="13">
        <v>45582</v>
      </c>
      <c r="B292">
        <v>2024</v>
      </c>
      <c r="C292">
        <v>10</v>
      </c>
      <c r="D292" t="s">
        <v>10</v>
      </c>
      <c r="E292" t="s">
        <v>82</v>
      </c>
      <c r="F292" t="s">
        <v>115</v>
      </c>
      <c r="G292">
        <v>17</v>
      </c>
      <c r="H292" t="s">
        <v>116</v>
      </c>
      <c r="I292" s="13">
        <v>45596</v>
      </c>
    </row>
    <row r="293" spans="1:9" x14ac:dyDescent="0.3">
      <c r="A293" s="13">
        <v>45583</v>
      </c>
      <c r="B293">
        <v>2024</v>
      </c>
      <c r="C293">
        <v>10</v>
      </c>
      <c r="D293" t="s">
        <v>10</v>
      </c>
      <c r="E293" t="s">
        <v>82</v>
      </c>
      <c r="F293" t="s">
        <v>115</v>
      </c>
      <c r="G293">
        <v>18</v>
      </c>
      <c r="H293" t="s">
        <v>116</v>
      </c>
      <c r="I293" s="13">
        <v>45596</v>
      </c>
    </row>
    <row r="294" spans="1:9" x14ac:dyDescent="0.3">
      <c r="A294" s="13">
        <v>45584</v>
      </c>
      <c r="B294">
        <v>2024</v>
      </c>
      <c r="C294">
        <v>10</v>
      </c>
      <c r="D294" t="s">
        <v>10</v>
      </c>
      <c r="E294" t="s">
        <v>82</v>
      </c>
      <c r="F294" t="s">
        <v>115</v>
      </c>
      <c r="G294">
        <v>19</v>
      </c>
      <c r="H294" t="s">
        <v>116</v>
      </c>
      <c r="I294" s="13">
        <v>45596</v>
      </c>
    </row>
    <row r="295" spans="1:9" x14ac:dyDescent="0.3">
      <c r="A295" s="13">
        <v>45585</v>
      </c>
      <c r="B295">
        <v>2024</v>
      </c>
      <c r="C295">
        <v>10</v>
      </c>
      <c r="D295" t="s">
        <v>10</v>
      </c>
      <c r="E295" t="s">
        <v>82</v>
      </c>
      <c r="F295" t="s">
        <v>115</v>
      </c>
      <c r="G295">
        <v>20</v>
      </c>
      <c r="H295" t="s">
        <v>116</v>
      </c>
      <c r="I295" s="13">
        <v>45596</v>
      </c>
    </row>
    <row r="296" spans="1:9" x14ac:dyDescent="0.3">
      <c r="A296" s="13">
        <v>45586</v>
      </c>
      <c r="B296">
        <v>2024</v>
      </c>
      <c r="C296">
        <v>10</v>
      </c>
      <c r="D296" t="s">
        <v>10</v>
      </c>
      <c r="E296" t="s">
        <v>82</v>
      </c>
      <c r="F296" t="s">
        <v>115</v>
      </c>
      <c r="G296">
        <v>21</v>
      </c>
      <c r="H296" t="s">
        <v>116</v>
      </c>
      <c r="I296" s="13">
        <v>45596</v>
      </c>
    </row>
    <row r="297" spans="1:9" x14ac:dyDescent="0.3">
      <c r="A297" s="13">
        <v>45587</v>
      </c>
      <c r="B297">
        <v>2024</v>
      </c>
      <c r="C297">
        <v>10</v>
      </c>
      <c r="D297" t="s">
        <v>10</v>
      </c>
      <c r="E297" t="s">
        <v>82</v>
      </c>
      <c r="F297" t="s">
        <v>115</v>
      </c>
      <c r="G297">
        <v>22</v>
      </c>
      <c r="H297" t="s">
        <v>116</v>
      </c>
      <c r="I297" s="13">
        <v>45596</v>
      </c>
    </row>
    <row r="298" spans="1:9" x14ac:dyDescent="0.3">
      <c r="A298" s="13">
        <v>45588</v>
      </c>
      <c r="B298">
        <v>2024</v>
      </c>
      <c r="C298">
        <v>10</v>
      </c>
      <c r="D298" t="s">
        <v>10</v>
      </c>
      <c r="E298" t="s">
        <v>82</v>
      </c>
      <c r="F298" t="s">
        <v>115</v>
      </c>
      <c r="G298">
        <v>23</v>
      </c>
      <c r="H298" t="s">
        <v>116</v>
      </c>
      <c r="I298" s="13">
        <v>45596</v>
      </c>
    </row>
    <row r="299" spans="1:9" x14ac:dyDescent="0.3">
      <c r="A299" s="13">
        <v>45589</v>
      </c>
      <c r="B299">
        <v>2024</v>
      </c>
      <c r="C299">
        <v>10</v>
      </c>
      <c r="D299" t="s">
        <v>10</v>
      </c>
      <c r="E299" t="s">
        <v>82</v>
      </c>
      <c r="F299" t="s">
        <v>115</v>
      </c>
      <c r="G299">
        <v>24</v>
      </c>
      <c r="H299" t="s">
        <v>116</v>
      </c>
      <c r="I299" s="13">
        <v>45596</v>
      </c>
    </row>
    <row r="300" spans="1:9" x14ac:dyDescent="0.3">
      <c r="A300" s="13">
        <v>45590</v>
      </c>
      <c r="B300">
        <v>2024</v>
      </c>
      <c r="C300">
        <v>10</v>
      </c>
      <c r="D300" t="s">
        <v>10</v>
      </c>
      <c r="E300" t="s">
        <v>82</v>
      </c>
      <c r="F300" t="s">
        <v>115</v>
      </c>
      <c r="G300">
        <v>25</v>
      </c>
      <c r="H300" t="s">
        <v>116</v>
      </c>
      <c r="I300" s="13">
        <v>45596</v>
      </c>
    </row>
    <row r="301" spans="1:9" x14ac:dyDescent="0.3">
      <c r="A301" s="13">
        <v>45591</v>
      </c>
      <c r="B301">
        <v>2024</v>
      </c>
      <c r="C301">
        <v>10</v>
      </c>
      <c r="D301" t="s">
        <v>10</v>
      </c>
      <c r="E301" t="s">
        <v>82</v>
      </c>
      <c r="F301" t="s">
        <v>115</v>
      </c>
      <c r="G301">
        <v>26</v>
      </c>
      <c r="H301" t="s">
        <v>116</v>
      </c>
      <c r="I301" s="13">
        <v>45596</v>
      </c>
    </row>
    <row r="302" spans="1:9" x14ac:dyDescent="0.3">
      <c r="A302" s="13">
        <v>45592</v>
      </c>
      <c r="B302">
        <v>2024</v>
      </c>
      <c r="C302">
        <v>10</v>
      </c>
      <c r="D302" t="s">
        <v>10</v>
      </c>
      <c r="E302" t="s">
        <v>82</v>
      </c>
      <c r="F302" t="s">
        <v>115</v>
      </c>
      <c r="G302">
        <v>27</v>
      </c>
      <c r="H302" t="s">
        <v>116</v>
      </c>
      <c r="I302" s="13">
        <v>45596</v>
      </c>
    </row>
    <row r="303" spans="1:9" x14ac:dyDescent="0.3">
      <c r="A303" s="13">
        <v>45593</v>
      </c>
      <c r="B303">
        <v>2024</v>
      </c>
      <c r="C303">
        <v>10</v>
      </c>
      <c r="D303" t="s">
        <v>10</v>
      </c>
      <c r="E303" t="s">
        <v>82</v>
      </c>
      <c r="F303" t="s">
        <v>115</v>
      </c>
      <c r="G303">
        <v>28</v>
      </c>
      <c r="H303" t="s">
        <v>116</v>
      </c>
      <c r="I303" s="13">
        <v>45596</v>
      </c>
    </row>
    <row r="304" spans="1:9" x14ac:dyDescent="0.3">
      <c r="A304" s="13">
        <v>45594</v>
      </c>
      <c r="B304">
        <v>2024</v>
      </c>
      <c r="C304">
        <v>10</v>
      </c>
      <c r="D304" t="s">
        <v>10</v>
      </c>
      <c r="E304" t="s">
        <v>82</v>
      </c>
      <c r="F304" t="s">
        <v>115</v>
      </c>
      <c r="G304">
        <v>29</v>
      </c>
      <c r="H304" t="s">
        <v>116</v>
      </c>
      <c r="I304" s="13">
        <v>45596</v>
      </c>
    </row>
    <row r="305" spans="1:9" x14ac:dyDescent="0.3">
      <c r="A305" s="13">
        <v>45595</v>
      </c>
      <c r="B305">
        <v>2024</v>
      </c>
      <c r="C305">
        <v>10</v>
      </c>
      <c r="D305" t="s">
        <v>10</v>
      </c>
      <c r="E305" t="s">
        <v>82</v>
      </c>
      <c r="F305" t="s">
        <v>115</v>
      </c>
      <c r="G305">
        <v>30</v>
      </c>
      <c r="H305" t="s">
        <v>116</v>
      </c>
      <c r="I305" s="13">
        <v>45596</v>
      </c>
    </row>
    <row r="306" spans="1:9" x14ac:dyDescent="0.3">
      <c r="A306" s="13">
        <v>45596</v>
      </c>
      <c r="B306">
        <v>2024</v>
      </c>
      <c r="C306">
        <v>10</v>
      </c>
      <c r="D306" t="s">
        <v>10</v>
      </c>
      <c r="E306" t="s">
        <v>82</v>
      </c>
      <c r="F306" t="s">
        <v>115</v>
      </c>
      <c r="G306">
        <v>31</v>
      </c>
      <c r="H306" t="s">
        <v>116</v>
      </c>
      <c r="I306" s="13">
        <v>45596</v>
      </c>
    </row>
    <row r="307" spans="1:9" x14ac:dyDescent="0.3">
      <c r="A307" s="13">
        <v>45597</v>
      </c>
      <c r="B307">
        <v>2024</v>
      </c>
      <c r="C307">
        <v>11</v>
      </c>
      <c r="D307" t="s">
        <v>11</v>
      </c>
      <c r="E307" t="s">
        <v>83</v>
      </c>
      <c r="F307" t="s">
        <v>115</v>
      </c>
      <c r="G307">
        <v>1</v>
      </c>
      <c r="H307" t="s">
        <v>117</v>
      </c>
      <c r="I307" s="13">
        <v>45626</v>
      </c>
    </row>
    <row r="308" spans="1:9" x14ac:dyDescent="0.3">
      <c r="A308" s="13">
        <v>45598</v>
      </c>
      <c r="B308">
        <v>2024</v>
      </c>
      <c r="C308">
        <v>11</v>
      </c>
      <c r="D308" t="s">
        <v>11</v>
      </c>
      <c r="E308" t="s">
        <v>83</v>
      </c>
      <c r="F308" t="s">
        <v>115</v>
      </c>
      <c r="G308">
        <v>2</v>
      </c>
      <c r="H308" t="s">
        <v>117</v>
      </c>
      <c r="I308" s="13">
        <v>45626</v>
      </c>
    </row>
    <row r="309" spans="1:9" x14ac:dyDescent="0.3">
      <c r="A309" s="13">
        <v>45599</v>
      </c>
      <c r="B309">
        <v>2024</v>
      </c>
      <c r="C309">
        <v>11</v>
      </c>
      <c r="D309" t="s">
        <v>11</v>
      </c>
      <c r="E309" t="s">
        <v>83</v>
      </c>
      <c r="F309" t="s">
        <v>115</v>
      </c>
      <c r="G309">
        <v>3</v>
      </c>
      <c r="H309" t="s">
        <v>117</v>
      </c>
      <c r="I309" s="13">
        <v>45626</v>
      </c>
    </row>
    <row r="310" spans="1:9" x14ac:dyDescent="0.3">
      <c r="A310" s="13">
        <v>45600</v>
      </c>
      <c r="B310">
        <v>2024</v>
      </c>
      <c r="C310">
        <v>11</v>
      </c>
      <c r="D310" t="s">
        <v>11</v>
      </c>
      <c r="E310" t="s">
        <v>83</v>
      </c>
      <c r="F310" t="s">
        <v>115</v>
      </c>
      <c r="G310">
        <v>4</v>
      </c>
      <c r="H310" t="s">
        <v>117</v>
      </c>
      <c r="I310" s="13">
        <v>45626</v>
      </c>
    </row>
    <row r="311" spans="1:9" x14ac:dyDescent="0.3">
      <c r="A311" s="13">
        <v>45601</v>
      </c>
      <c r="B311">
        <v>2024</v>
      </c>
      <c r="C311">
        <v>11</v>
      </c>
      <c r="D311" t="s">
        <v>11</v>
      </c>
      <c r="E311" t="s">
        <v>83</v>
      </c>
      <c r="F311" t="s">
        <v>115</v>
      </c>
      <c r="G311">
        <v>5</v>
      </c>
      <c r="H311" t="s">
        <v>117</v>
      </c>
      <c r="I311" s="13">
        <v>45626</v>
      </c>
    </row>
    <row r="312" spans="1:9" x14ac:dyDescent="0.3">
      <c r="A312" s="13">
        <v>45602</v>
      </c>
      <c r="B312">
        <v>2024</v>
      </c>
      <c r="C312">
        <v>11</v>
      </c>
      <c r="D312" t="s">
        <v>11</v>
      </c>
      <c r="E312" t="s">
        <v>83</v>
      </c>
      <c r="F312" t="s">
        <v>115</v>
      </c>
      <c r="G312">
        <v>6</v>
      </c>
      <c r="H312" t="s">
        <v>117</v>
      </c>
      <c r="I312" s="13">
        <v>45626</v>
      </c>
    </row>
    <row r="313" spans="1:9" x14ac:dyDescent="0.3">
      <c r="A313" s="13">
        <v>45603</v>
      </c>
      <c r="B313">
        <v>2024</v>
      </c>
      <c r="C313">
        <v>11</v>
      </c>
      <c r="D313" t="s">
        <v>11</v>
      </c>
      <c r="E313" t="s">
        <v>83</v>
      </c>
      <c r="F313" t="s">
        <v>115</v>
      </c>
      <c r="G313">
        <v>7</v>
      </c>
      <c r="H313" t="s">
        <v>117</v>
      </c>
      <c r="I313" s="13">
        <v>45626</v>
      </c>
    </row>
    <row r="314" spans="1:9" x14ac:dyDescent="0.3">
      <c r="A314" s="13">
        <v>45604</v>
      </c>
      <c r="B314">
        <v>2024</v>
      </c>
      <c r="C314">
        <v>11</v>
      </c>
      <c r="D314" t="s">
        <v>11</v>
      </c>
      <c r="E314" t="s">
        <v>83</v>
      </c>
      <c r="F314" t="s">
        <v>115</v>
      </c>
      <c r="G314">
        <v>8</v>
      </c>
      <c r="H314" t="s">
        <v>117</v>
      </c>
      <c r="I314" s="13">
        <v>45626</v>
      </c>
    </row>
    <row r="315" spans="1:9" x14ac:dyDescent="0.3">
      <c r="A315" s="13">
        <v>45605</v>
      </c>
      <c r="B315">
        <v>2024</v>
      </c>
      <c r="C315">
        <v>11</v>
      </c>
      <c r="D315" t="s">
        <v>11</v>
      </c>
      <c r="E315" t="s">
        <v>83</v>
      </c>
      <c r="F315" t="s">
        <v>115</v>
      </c>
      <c r="G315">
        <v>9</v>
      </c>
      <c r="H315" t="s">
        <v>117</v>
      </c>
      <c r="I315" s="13">
        <v>45626</v>
      </c>
    </row>
    <row r="316" spans="1:9" x14ac:dyDescent="0.3">
      <c r="A316" s="13">
        <v>45606</v>
      </c>
      <c r="B316">
        <v>2024</v>
      </c>
      <c r="C316">
        <v>11</v>
      </c>
      <c r="D316" t="s">
        <v>11</v>
      </c>
      <c r="E316" t="s">
        <v>83</v>
      </c>
      <c r="F316" t="s">
        <v>115</v>
      </c>
      <c r="G316">
        <v>10</v>
      </c>
      <c r="H316" t="s">
        <v>117</v>
      </c>
      <c r="I316" s="13">
        <v>45626</v>
      </c>
    </row>
    <row r="317" spans="1:9" x14ac:dyDescent="0.3">
      <c r="A317" s="13">
        <v>45607</v>
      </c>
      <c r="B317">
        <v>2024</v>
      </c>
      <c r="C317">
        <v>11</v>
      </c>
      <c r="D317" t="s">
        <v>11</v>
      </c>
      <c r="E317" t="s">
        <v>83</v>
      </c>
      <c r="F317" t="s">
        <v>115</v>
      </c>
      <c r="G317">
        <v>11</v>
      </c>
      <c r="H317" t="s">
        <v>117</v>
      </c>
      <c r="I317" s="13">
        <v>45626</v>
      </c>
    </row>
    <row r="318" spans="1:9" x14ac:dyDescent="0.3">
      <c r="A318" s="13">
        <v>45608</v>
      </c>
      <c r="B318">
        <v>2024</v>
      </c>
      <c r="C318">
        <v>11</v>
      </c>
      <c r="D318" t="s">
        <v>11</v>
      </c>
      <c r="E318" t="s">
        <v>83</v>
      </c>
      <c r="F318" t="s">
        <v>115</v>
      </c>
      <c r="G318">
        <v>12</v>
      </c>
      <c r="H318" t="s">
        <v>117</v>
      </c>
      <c r="I318" s="13">
        <v>45626</v>
      </c>
    </row>
    <row r="319" spans="1:9" x14ac:dyDescent="0.3">
      <c r="A319" s="13">
        <v>45609</v>
      </c>
      <c r="B319">
        <v>2024</v>
      </c>
      <c r="C319">
        <v>11</v>
      </c>
      <c r="D319" t="s">
        <v>11</v>
      </c>
      <c r="E319" t="s">
        <v>83</v>
      </c>
      <c r="F319" t="s">
        <v>115</v>
      </c>
      <c r="G319">
        <v>13</v>
      </c>
      <c r="H319" t="s">
        <v>117</v>
      </c>
      <c r="I319" s="13">
        <v>45626</v>
      </c>
    </row>
    <row r="320" spans="1:9" x14ac:dyDescent="0.3">
      <c r="A320" s="13">
        <v>45610</v>
      </c>
      <c r="B320">
        <v>2024</v>
      </c>
      <c r="C320">
        <v>11</v>
      </c>
      <c r="D320" t="s">
        <v>11</v>
      </c>
      <c r="E320" t="s">
        <v>83</v>
      </c>
      <c r="F320" t="s">
        <v>115</v>
      </c>
      <c r="G320">
        <v>14</v>
      </c>
      <c r="H320" t="s">
        <v>117</v>
      </c>
      <c r="I320" s="13">
        <v>45626</v>
      </c>
    </row>
    <row r="321" spans="1:9" x14ac:dyDescent="0.3">
      <c r="A321" s="13">
        <v>45611</v>
      </c>
      <c r="B321">
        <v>2024</v>
      </c>
      <c r="C321">
        <v>11</v>
      </c>
      <c r="D321" t="s">
        <v>11</v>
      </c>
      <c r="E321" t="s">
        <v>83</v>
      </c>
      <c r="F321" t="s">
        <v>115</v>
      </c>
      <c r="G321">
        <v>15</v>
      </c>
      <c r="H321" t="s">
        <v>117</v>
      </c>
      <c r="I321" s="13">
        <v>45626</v>
      </c>
    </row>
    <row r="322" spans="1:9" x14ac:dyDescent="0.3">
      <c r="A322" s="13">
        <v>45612</v>
      </c>
      <c r="B322">
        <v>2024</v>
      </c>
      <c r="C322">
        <v>11</v>
      </c>
      <c r="D322" t="s">
        <v>11</v>
      </c>
      <c r="E322" t="s">
        <v>83</v>
      </c>
      <c r="F322" t="s">
        <v>115</v>
      </c>
      <c r="G322">
        <v>16</v>
      </c>
      <c r="H322" t="s">
        <v>117</v>
      </c>
      <c r="I322" s="13">
        <v>45626</v>
      </c>
    </row>
    <row r="323" spans="1:9" x14ac:dyDescent="0.3">
      <c r="A323" s="13">
        <v>45613</v>
      </c>
      <c r="B323">
        <v>2024</v>
      </c>
      <c r="C323">
        <v>11</v>
      </c>
      <c r="D323" t="s">
        <v>11</v>
      </c>
      <c r="E323" t="s">
        <v>83</v>
      </c>
      <c r="F323" t="s">
        <v>115</v>
      </c>
      <c r="G323">
        <v>17</v>
      </c>
      <c r="H323" t="s">
        <v>117</v>
      </c>
      <c r="I323" s="13">
        <v>45626</v>
      </c>
    </row>
    <row r="324" spans="1:9" x14ac:dyDescent="0.3">
      <c r="A324" s="13">
        <v>45614</v>
      </c>
      <c r="B324">
        <v>2024</v>
      </c>
      <c r="C324">
        <v>11</v>
      </c>
      <c r="D324" t="s">
        <v>11</v>
      </c>
      <c r="E324" t="s">
        <v>83</v>
      </c>
      <c r="F324" t="s">
        <v>115</v>
      </c>
      <c r="G324">
        <v>18</v>
      </c>
      <c r="H324" t="s">
        <v>117</v>
      </c>
      <c r="I324" s="13">
        <v>45626</v>
      </c>
    </row>
    <row r="325" spans="1:9" x14ac:dyDescent="0.3">
      <c r="A325" s="13">
        <v>45615</v>
      </c>
      <c r="B325">
        <v>2024</v>
      </c>
      <c r="C325">
        <v>11</v>
      </c>
      <c r="D325" t="s">
        <v>11</v>
      </c>
      <c r="E325" t="s">
        <v>83</v>
      </c>
      <c r="F325" t="s">
        <v>115</v>
      </c>
      <c r="G325">
        <v>19</v>
      </c>
      <c r="H325" t="s">
        <v>117</v>
      </c>
      <c r="I325" s="13">
        <v>45626</v>
      </c>
    </row>
    <row r="326" spans="1:9" x14ac:dyDescent="0.3">
      <c r="A326" s="13">
        <v>45616</v>
      </c>
      <c r="B326">
        <v>2024</v>
      </c>
      <c r="C326">
        <v>11</v>
      </c>
      <c r="D326" t="s">
        <v>11</v>
      </c>
      <c r="E326" t="s">
        <v>83</v>
      </c>
      <c r="F326" t="s">
        <v>115</v>
      </c>
      <c r="G326">
        <v>20</v>
      </c>
      <c r="H326" t="s">
        <v>117</v>
      </c>
      <c r="I326" s="13">
        <v>45626</v>
      </c>
    </row>
    <row r="327" spans="1:9" x14ac:dyDescent="0.3">
      <c r="A327" s="13">
        <v>45617</v>
      </c>
      <c r="B327">
        <v>2024</v>
      </c>
      <c r="C327">
        <v>11</v>
      </c>
      <c r="D327" t="s">
        <v>11</v>
      </c>
      <c r="E327" t="s">
        <v>83</v>
      </c>
      <c r="F327" t="s">
        <v>115</v>
      </c>
      <c r="G327">
        <v>21</v>
      </c>
      <c r="H327" t="s">
        <v>117</v>
      </c>
      <c r="I327" s="13">
        <v>45626</v>
      </c>
    </row>
    <row r="328" spans="1:9" x14ac:dyDescent="0.3">
      <c r="A328" s="13">
        <v>45618</v>
      </c>
      <c r="B328">
        <v>2024</v>
      </c>
      <c r="C328">
        <v>11</v>
      </c>
      <c r="D328" t="s">
        <v>11</v>
      </c>
      <c r="E328" t="s">
        <v>83</v>
      </c>
      <c r="F328" t="s">
        <v>115</v>
      </c>
      <c r="G328">
        <v>22</v>
      </c>
      <c r="H328" t="s">
        <v>117</v>
      </c>
      <c r="I328" s="13">
        <v>45626</v>
      </c>
    </row>
    <row r="329" spans="1:9" x14ac:dyDescent="0.3">
      <c r="A329" s="13">
        <v>45619</v>
      </c>
      <c r="B329">
        <v>2024</v>
      </c>
      <c r="C329">
        <v>11</v>
      </c>
      <c r="D329" t="s">
        <v>11</v>
      </c>
      <c r="E329" t="s">
        <v>83</v>
      </c>
      <c r="F329" t="s">
        <v>115</v>
      </c>
      <c r="G329">
        <v>23</v>
      </c>
      <c r="H329" t="s">
        <v>117</v>
      </c>
      <c r="I329" s="13">
        <v>45626</v>
      </c>
    </row>
    <row r="330" spans="1:9" x14ac:dyDescent="0.3">
      <c r="A330" s="13">
        <v>45620</v>
      </c>
      <c r="B330">
        <v>2024</v>
      </c>
      <c r="C330">
        <v>11</v>
      </c>
      <c r="D330" t="s">
        <v>11</v>
      </c>
      <c r="E330" t="s">
        <v>83</v>
      </c>
      <c r="F330" t="s">
        <v>115</v>
      </c>
      <c r="G330">
        <v>24</v>
      </c>
      <c r="H330" t="s">
        <v>117</v>
      </c>
      <c r="I330" s="13">
        <v>45626</v>
      </c>
    </row>
    <row r="331" spans="1:9" x14ac:dyDescent="0.3">
      <c r="A331" s="13">
        <v>45621</v>
      </c>
      <c r="B331">
        <v>2024</v>
      </c>
      <c r="C331">
        <v>11</v>
      </c>
      <c r="D331" t="s">
        <v>11</v>
      </c>
      <c r="E331" t="s">
        <v>83</v>
      </c>
      <c r="F331" t="s">
        <v>115</v>
      </c>
      <c r="G331">
        <v>25</v>
      </c>
      <c r="H331" t="s">
        <v>117</v>
      </c>
      <c r="I331" s="13">
        <v>45626</v>
      </c>
    </row>
    <row r="332" spans="1:9" x14ac:dyDescent="0.3">
      <c r="A332" s="13">
        <v>45622</v>
      </c>
      <c r="B332">
        <v>2024</v>
      </c>
      <c r="C332">
        <v>11</v>
      </c>
      <c r="D332" t="s">
        <v>11</v>
      </c>
      <c r="E332" t="s">
        <v>83</v>
      </c>
      <c r="F332" t="s">
        <v>115</v>
      </c>
      <c r="G332">
        <v>26</v>
      </c>
      <c r="H332" t="s">
        <v>117</v>
      </c>
      <c r="I332" s="13">
        <v>45626</v>
      </c>
    </row>
    <row r="333" spans="1:9" x14ac:dyDescent="0.3">
      <c r="A333" s="13">
        <v>45623</v>
      </c>
      <c r="B333">
        <v>2024</v>
      </c>
      <c r="C333">
        <v>11</v>
      </c>
      <c r="D333" t="s">
        <v>11</v>
      </c>
      <c r="E333" t="s">
        <v>83</v>
      </c>
      <c r="F333" t="s">
        <v>115</v>
      </c>
      <c r="G333">
        <v>27</v>
      </c>
      <c r="H333" t="s">
        <v>117</v>
      </c>
      <c r="I333" s="13">
        <v>45626</v>
      </c>
    </row>
    <row r="334" spans="1:9" x14ac:dyDescent="0.3">
      <c r="A334" s="13">
        <v>45624</v>
      </c>
      <c r="B334">
        <v>2024</v>
      </c>
      <c r="C334">
        <v>11</v>
      </c>
      <c r="D334" t="s">
        <v>11</v>
      </c>
      <c r="E334" t="s">
        <v>83</v>
      </c>
      <c r="F334" t="s">
        <v>115</v>
      </c>
      <c r="G334">
        <v>28</v>
      </c>
      <c r="H334" t="s">
        <v>117</v>
      </c>
      <c r="I334" s="13">
        <v>45626</v>
      </c>
    </row>
    <row r="335" spans="1:9" x14ac:dyDescent="0.3">
      <c r="A335" s="13">
        <v>45625</v>
      </c>
      <c r="B335">
        <v>2024</v>
      </c>
      <c r="C335">
        <v>11</v>
      </c>
      <c r="D335" t="s">
        <v>11</v>
      </c>
      <c r="E335" t="s">
        <v>83</v>
      </c>
      <c r="F335" t="s">
        <v>115</v>
      </c>
      <c r="G335">
        <v>29</v>
      </c>
      <c r="H335" t="s">
        <v>117</v>
      </c>
      <c r="I335" s="13">
        <v>45626</v>
      </c>
    </row>
    <row r="336" spans="1:9" x14ac:dyDescent="0.3">
      <c r="A336" s="13">
        <v>45626</v>
      </c>
      <c r="B336">
        <v>2024</v>
      </c>
      <c r="C336">
        <v>11</v>
      </c>
      <c r="D336" t="s">
        <v>11</v>
      </c>
      <c r="E336" t="s">
        <v>83</v>
      </c>
      <c r="F336" t="s">
        <v>115</v>
      </c>
      <c r="G336">
        <v>30</v>
      </c>
      <c r="H336" t="s">
        <v>117</v>
      </c>
      <c r="I336" s="13">
        <v>45626</v>
      </c>
    </row>
    <row r="337" spans="1:9" x14ac:dyDescent="0.3">
      <c r="A337" s="13">
        <v>45627</v>
      </c>
      <c r="B337">
        <v>2024</v>
      </c>
      <c r="C337">
        <v>12</v>
      </c>
      <c r="D337" t="s">
        <v>12</v>
      </c>
      <c r="E337" t="s">
        <v>84</v>
      </c>
      <c r="F337" t="s">
        <v>115</v>
      </c>
      <c r="G337">
        <v>1</v>
      </c>
      <c r="H337" t="s">
        <v>118</v>
      </c>
      <c r="I337" s="13">
        <v>45657</v>
      </c>
    </row>
    <row r="338" spans="1:9" x14ac:dyDescent="0.3">
      <c r="A338" s="13">
        <v>45628</v>
      </c>
      <c r="B338">
        <v>2024</v>
      </c>
      <c r="C338">
        <v>12</v>
      </c>
      <c r="D338" t="s">
        <v>12</v>
      </c>
      <c r="E338" t="s">
        <v>84</v>
      </c>
      <c r="F338" t="s">
        <v>115</v>
      </c>
      <c r="G338">
        <v>2</v>
      </c>
      <c r="H338" t="s">
        <v>118</v>
      </c>
      <c r="I338" s="13">
        <v>45657</v>
      </c>
    </row>
    <row r="339" spans="1:9" x14ac:dyDescent="0.3">
      <c r="A339" s="13">
        <v>45629</v>
      </c>
      <c r="B339">
        <v>2024</v>
      </c>
      <c r="C339">
        <v>12</v>
      </c>
      <c r="D339" t="s">
        <v>12</v>
      </c>
      <c r="E339" t="s">
        <v>84</v>
      </c>
      <c r="F339" t="s">
        <v>115</v>
      </c>
      <c r="G339">
        <v>3</v>
      </c>
      <c r="H339" t="s">
        <v>118</v>
      </c>
      <c r="I339" s="13">
        <v>45657</v>
      </c>
    </row>
    <row r="340" spans="1:9" x14ac:dyDescent="0.3">
      <c r="A340" s="13">
        <v>45630</v>
      </c>
      <c r="B340">
        <v>2024</v>
      </c>
      <c r="C340">
        <v>12</v>
      </c>
      <c r="D340" t="s">
        <v>12</v>
      </c>
      <c r="E340" t="s">
        <v>84</v>
      </c>
      <c r="F340" t="s">
        <v>115</v>
      </c>
      <c r="G340">
        <v>4</v>
      </c>
      <c r="H340" t="s">
        <v>118</v>
      </c>
      <c r="I340" s="13">
        <v>45657</v>
      </c>
    </row>
    <row r="341" spans="1:9" x14ac:dyDescent="0.3">
      <c r="A341" s="13">
        <v>45631</v>
      </c>
      <c r="B341">
        <v>2024</v>
      </c>
      <c r="C341">
        <v>12</v>
      </c>
      <c r="D341" t="s">
        <v>12</v>
      </c>
      <c r="E341" t="s">
        <v>84</v>
      </c>
      <c r="F341" t="s">
        <v>115</v>
      </c>
      <c r="G341">
        <v>5</v>
      </c>
      <c r="H341" t="s">
        <v>118</v>
      </c>
      <c r="I341" s="13">
        <v>45657</v>
      </c>
    </row>
    <row r="342" spans="1:9" x14ac:dyDescent="0.3">
      <c r="A342" s="13">
        <v>45632</v>
      </c>
      <c r="B342">
        <v>2024</v>
      </c>
      <c r="C342">
        <v>12</v>
      </c>
      <c r="D342" t="s">
        <v>12</v>
      </c>
      <c r="E342" t="s">
        <v>84</v>
      </c>
      <c r="F342" t="s">
        <v>115</v>
      </c>
      <c r="G342">
        <v>6</v>
      </c>
      <c r="H342" t="s">
        <v>118</v>
      </c>
      <c r="I342" s="13">
        <v>45657</v>
      </c>
    </row>
    <row r="343" spans="1:9" x14ac:dyDescent="0.3">
      <c r="A343" s="13">
        <v>45633</v>
      </c>
      <c r="B343">
        <v>2024</v>
      </c>
      <c r="C343">
        <v>12</v>
      </c>
      <c r="D343" t="s">
        <v>12</v>
      </c>
      <c r="E343" t="s">
        <v>84</v>
      </c>
      <c r="F343" t="s">
        <v>115</v>
      </c>
      <c r="G343">
        <v>7</v>
      </c>
      <c r="H343" t="s">
        <v>118</v>
      </c>
      <c r="I343" s="13">
        <v>45657</v>
      </c>
    </row>
    <row r="344" spans="1:9" x14ac:dyDescent="0.3">
      <c r="A344" s="13">
        <v>45634</v>
      </c>
      <c r="B344">
        <v>2024</v>
      </c>
      <c r="C344">
        <v>12</v>
      </c>
      <c r="D344" t="s">
        <v>12</v>
      </c>
      <c r="E344" t="s">
        <v>84</v>
      </c>
      <c r="F344" t="s">
        <v>115</v>
      </c>
      <c r="G344">
        <v>8</v>
      </c>
      <c r="H344" t="s">
        <v>118</v>
      </c>
      <c r="I344" s="13">
        <v>45657</v>
      </c>
    </row>
    <row r="345" spans="1:9" x14ac:dyDescent="0.3">
      <c r="A345" s="13">
        <v>45635</v>
      </c>
      <c r="B345">
        <v>2024</v>
      </c>
      <c r="C345">
        <v>12</v>
      </c>
      <c r="D345" t="s">
        <v>12</v>
      </c>
      <c r="E345" t="s">
        <v>84</v>
      </c>
      <c r="F345" t="s">
        <v>115</v>
      </c>
      <c r="G345">
        <v>9</v>
      </c>
      <c r="H345" t="s">
        <v>118</v>
      </c>
      <c r="I345" s="13">
        <v>45657</v>
      </c>
    </row>
    <row r="346" spans="1:9" x14ac:dyDescent="0.3">
      <c r="A346" s="13">
        <v>45636</v>
      </c>
      <c r="B346">
        <v>2024</v>
      </c>
      <c r="C346">
        <v>12</v>
      </c>
      <c r="D346" t="s">
        <v>12</v>
      </c>
      <c r="E346" t="s">
        <v>84</v>
      </c>
      <c r="F346" t="s">
        <v>115</v>
      </c>
      <c r="G346">
        <v>10</v>
      </c>
      <c r="H346" t="s">
        <v>118</v>
      </c>
      <c r="I346" s="13">
        <v>45657</v>
      </c>
    </row>
    <row r="347" spans="1:9" x14ac:dyDescent="0.3">
      <c r="A347" s="13">
        <v>45637</v>
      </c>
      <c r="B347">
        <v>2024</v>
      </c>
      <c r="C347">
        <v>12</v>
      </c>
      <c r="D347" t="s">
        <v>12</v>
      </c>
      <c r="E347" t="s">
        <v>84</v>
      </c>
      <c r="F347" t="s">
        <v>115</v>
      </c>
      <c r="G347">
        <v>11</v>
      </c>
      <c r="H347" t="s">
        <v>118</v>
      </c>
      <c r="I347" s="13">
        <v>45657</v>
      </c>
    </row>
    <row r="348" spans="1:9" x14ac:dyDescent="0.3">
      <c r="A348" s="13">
        <v>45638</v>
      </c>
      <c r="B348">
        <v>2024</v>
      </c>
      <c r="C348">
        <v>12</v>
      </c>
      <c r="D348" t="s">
        <v>12</v>
      </c>
      <c r="E348" t="s">
        <v>84</v>
      </c>
      <c r="F348" t="s">
        <v>115</v>
      </c>
      <c r="G348">
        <v>12</v>
      </c>
      <c r="H348" t="s">
        <v>118</v>
      </c>
      <c r="I348" s="13">
        <v>45657</v>
      </c>
    </row>
    <row r="349" spans="1:9" x14ac:dyDescent="0.3">
      <c r="A349" s="13">
        <v>45639</v>
      </c>
      <c r="B349">
        <v>2024</v>
      </c>
      <c r="C349">
        <v>12</v>
      </c>
      <c r="D349" t="s">
        <v>12</v>
      </c>
      <c r="E349" t="s">
        <v>84</v>
      </c>
      <c r="F349" t="s">
        <v>115</v>
      </c>
      <c r="G349">
        <v>13</v>
      </c>
      <c r="H349" t="s">
        <v>118</v>
      </c>
      <c r="I349" s="13">
        <v>45657</v>
      </c>
    </row>
    <row r="350" spans="1:9" x14ac:dyDescent="0.3">
      <c r="A350" s="13">
        <v>45640</v>
      </c>
      <c r="B350">
        <v>2024</v>
      </c>
      <c r="C350">
        <v>12</v>
      </c>
      <c r="D350" t="s">
        <v>12</v>
      </c>
      <c r="E350" t="s">
        <v>84</v>
      </c>
      <c r="F350" t="s">
        <v>115</v>
      </c>
      <c r="G350">
        <v>14</v>
      </c>
      <c r="H350" t="s">
        <v>118</v>
      </c>
      <c r="I350" s="13">
        <v>45657</v>
      </c>
    </row>
    <row r="351" spans="1:9" x14ac:dyDescent="0.3">
      <c r="A351" s="13">
        <v>45641</v>
      </c>
      <c r="B351">
        <v>2024</v>
      </c>
      <c r="C351">
        <v>12</v>
      </c>
      <c r="D351" t="s">
        <v>12</v>
      </c>
      <c r="E351" t="s">
        <v>84</v>
      </c>
      <c r="F351" t="s">
        <v>115</v>
      </c>
      <c r="G351">
        <v>15</v>
      </c>
      <c r="H351" t="s">
        <v>118</v>
      </c>
      <c r="I351" s="13">
        <v>45657</v>
      </c>
    </row>
    <row r="352" spans="1:9" x14ac:dyDescent="0.3">
      <c r="A352" s="13">
        <v>45642</v>
      </c>
      <c r="B352">
        <v>2024</v>
      </c>
      <c r="C352">
        <v>12</v>
      </c>
      <c r="D352" t="s">
        <v>12</v>
      </c>
      <c r="E352" t="s">
        <v>84</v>
      </c>
      <c r="F352" t="s">
        <v>115</v>
      </c>
      <c r="G352">
        <v>16</v>
      </c>
      <c r="H352" t="s">
        <v>118</v>
      </c>
      <c r="I352" s="13">
        <v>45657</v>
      </c>
    </row>
    <row r="353" spans="1:9" x14ac:dyDescent="0.3">
      <c r="A353" s="13">
        <v>45643</v>
      </c>
      <c r="B353">
        <v>2024</v>
      </c>
      <c r="C353">
        <v>12</v>
      </c>
      <c r="D353" t="s">
        <v>12</v>
      </c>
      <c r="E353" t="s">
        <v>84</v>
      </c>
      <c r="F353" t="s">
        <v>115</v>
      </c>
      <c r="G353">
        <v>17</v>
      </c>
      <c r="H353" t="s">
        <v>118</v>
      </c>
      <c r="I353" s="13">
        <v>45657</v>
      </c>
    </row>
    <row r="354" spans="1:9" x14ac:dyDescent="0.3">
      <c r="A354" s="13">
        <v>45644</v>
      </c>
      <c r="B354">
        <v>2024</v>
      </c>
      <c r="C354">
        <v>12</v>
      </c>
      <c r="D354" t="s">
        <v>12</v>
      </c>
      <c r="E354" t="s">
        <v>84</v>
      </c>
      <c r="F354" t="s">
        <v>115</v>
      </c>
      <c r="G354">
        <v>18</v>
      </c>
      <c r="H354" t="s">
        <v>118</v>
      </c>
      <c r="I354" s="13">
        <v>45657</v>
      </c>
    </row>
    <row r="355" spans="1:9" x14ac:dyDescent="0.3">
      <c r="A355" s="13">
        <v>45645</v>
      </c>
      <c r="B355">
        <v>2024</v>
      </c>
      <c r="C355">
        <v>12</v>
      </c>
      <c r="D355" t="s">
        <v>12</v>
      </c>
      <c r="E355" t="s">
        <v>84</v>
      </c>
      <c r="F355" t="s">
        <v>115</v>
      </c>
      <c r="G355">
        <v>19</v>
      </c>
      <c r="H355" t="s">
        <v>118</v>
      </c>
      <c r="I355" s="13">
        <v>45657</v>
      </c>
    </row>
    <row r="356" spans="1:9" x14ac:dyDescent="0.3">
      <c r="A356" s="13">
        <v>45646</v>
      </c>
      <c r="B356">
        <v>2024</v>
      </c>
      <c r="C356">
        <v>12</v>
      </c>
      <c r="D356" t="s">
        <v>12</v>
      </c>
      <c r="E356" t="s">
        <v>84</v>
      </c>
      <c r="F356" t="s">
        <v>115</v>
      </c>
      <c r="G356">
        <v>20</v>
      </c>
      <c r="H356" t="s">
        <v>118</v>
      </c>
      <c r="I356" s="13">
        <v>45657</v>
      </c>
    </row>
    <row r="357" spans="1:9" x14ac:dyDescent="0.3">
      <c r="A357" s="13">
        <v>45647</v>
      </c>
      <c r="B357">
        <v>2024</v>
      </c>
      <c r="C357">
        <v>12</v>
      </c>
      <c r="D357" t="s">
        <v>12</v>
      </c>
      <c r="E357" t="s">
        <v>84</v>
      </c>
      <c r="F357" t="s">
        <v>115</v>
      </c>
      <c r="G357">
        <v>21</v>
      </c>
      <c r="H357" t="s">
        <v>118</v>
      </c>
      <c r="I357" s="13">
        <v>45657</v>
      </c>
    </row>
    <row r="358" spans="1:9" x14ac:dyDescent="0.3">
      <c r="A358" s="13">
        <v>45648</v>
      </c>
      <c r="B358">
        <v>2024</v>
      </c>
      <c r="C358">
        <v>12</v>
      </c>
      <c r="D358" t="s">
        <v>12</v>
      </c>
      <c r="E358" t="s">
        <v>84</v>
      </c>
      <c r="F358" t="s">
        <v>115</v>
      </c>
      <c r="G358">
        <v>22</v>
      </c>
      <c r="H358" t="s">
        <v>118</v>
      </c>
      <c r="I358" s="13">
        <v>45657</v>
      </c>
    </row>
    <row r="359" spans="1:9" x14ac:dyDescent="0.3">
      <c r="A359" s="13">
        <v>45649</v>
      </c>
      <c r="B359">
        <v>2024</v>
      </c>
      <c r="C359">
        <v>12</v>
      </c>
      <c r="D359" t="s">
        <v>12</v>
      </c>
      <c r="E359" t="s">
        <v>84</v>
      </c>
      <c r="F359" t="s">
        <v>115</v>
      </c>
      <c r="G359">
        <v>23</v>
      </c>
      <c r="H359" t="s">
        <v>118</v>
      </c>
      <c r="I359" s="13">
        <v>45657</v>
      </c>
    </row>
    <row r="360" spans="1:9" x14ac:dyDescent="0.3">
      <c r="A360" s="13">
        <v>45650</v>
      </c>
      <c r="B360">
        <v>2024</v>
      </c>
      <c r="C360">
        <v>12</v>
      </c>
      <c r="D360" t="s">
        <v>12</v>
      </c>
      <c r="E360" t="s">
        <v>84</v>
      </c>
      <c r="F360" t="s">
        <v>115</v>
      </c>
      <c r="G360">
        <v>24</v>
      </c>
      <c r="H360" t="s">
        <v>118</v>
      </c>
      <c r="I360" s="13">
        <v>45657</v>
      </c>
    </row>
    <row r="361" spans="1:9" x14ac:dyDescent="0.3">
      <c r="A361" s="13">
        <v>45651</v>
      </c>
      <c r="B361">
        <v>2024</v>
      </c>
      <c r="C361">
        <v>12</v>
      </c>
      <c r="D361" t="s">
        <v>12</v>
      </c>
      <c r="E361" t="s">
        <v>84</v>
      </c>
      <c r="F361" t="s">
        <v>115</v>
      </c>
      <c r="G361">
        <v>25</v>
      </c>
      <c r="H361" t="s">
        <v>118</v>
      </c>
      <c r="I361" s="13">
        <v>45657</v>
      </c>
    </row>
    <row r="362" spans="1:9" x14ac:dyDescent="0.3">
      <c r="A362" s="13">
        <v>45652</v>
      </c>
      <c r="B362">
        <v>2024</v>
      </c>
      <c r="C362">
        <v>12</v>
      </c>
      <c r="D362" t="s">
        <v>12</v>
      </c>
      <c r="E362" t="s">
        <v>84</v>
      </c>
      <c r="F362" t="s">
        <v>115</v>
      </c>
      <c r="G362">
        <v>26</v>
      </c>
      <c r="H362" t="s">
        <v>118</v>
      </c>
      <c r="I362" s="13">
        <v>45657</v>
      </c>
    </row>
    <row r="363" spans="1:9" x14ac:dyDescent="0.3">
      <c r="A363" s="13">
        <v>45653</v>
      </c>
      <c r="B363">
        <v>2024</v>
      </c>
      <c r="C363">
        <v>12</v>
      </c>
      <c r="D363" t="s">
        <v>12</v>
      </c>
      <c r="E363" t="s">
        <v>84</v>
      </c>
      <c r="F363" t="s">
        <v>115</v>
      </c>
      <c r="G363">
        <v>27</v>
      </c>
      <c r="H363" t="s">
        <v>118</v>
      </c>
      <c r="I363" s="13">
        <v>45657</v>
      </c>
    </row>
    <row r="364" spans="1:9" x14ac:dyDescent="0.3">
      <c r="A364" s="13">
        <v>45654</v>
      </c>
      <c r="B364">
        <v>2024</v>
      </c>
      <c r="C364">
        <v>12</v>
      </c>
      <c r="D364" t="s">
        <v>12</v>
      </c>
      <c r="E364" t="s">
        <v>84</v>
      </c>
      <c r="F364" t="s">
        <v>115</v>
      </c>
      <c r="G364">
        <v>28</v>
      </c>
      <c r="H364" t="s">
        <v>118</v>
      </c>
      <c r="I364" s="13">
        <v>45657</v>
      </c>
    </row>
    <row r="365" spans="1:9" x14ac:dyDescent="0.3">
      <c r="A365" s="13">
        <v>45655</v>
      </c>
      <c r="B365">
        <v>2024</v>
      </c>
      <c r="C365">
        <v>12</v>
      </c>
      <c r="D365" t="s">
        <v>12</v>
      </c>
      <c r="E365" t="s">
        <v>84</v>
      </c>
      <c r="F365" t="s">
        <v>115</v>
      </c>
      <c r="G365">
        <v>29</v>
      </c>
      <c r="H365" t="s">
        <v>118</v>
      </c>
      <c r="I365" s="13">
        <v>45657</v>
      </c>
    </row>
    <row r="366" spans="1:9" x14ac:dyDescent="0.3">
      <c r="A366" s="13">
        <v>45656</v>
      </c>
      <c r="B366">
        <v>2024</v>
      </c>
      <c r="C366">
        <v>12</v>
      </c>
      <c r="D366" t="s">
        <v>12</v>
      </c>
      <c r="E366" t="s">
        <v>84</v>
      </c>
      <c r="F366" t="s">
        <v>115</v>
      </c>
      <c r="G366">
        <v>30</v>
      </c>
      <c r="H366" t="s">
        <v>118</v>
      </c>
      <c r="I366" s="13">
        <v>45657</v>
      </c>
    </row>
    <row r="367" spans="1:9" x14ac:dyDescent="0.3">
      <c r="A367" s="13">
        <v>45657</v>
      </c>
      <c r="B367">
        <v>2024</v>
      </c>
      <c r="C367">
        <v>12</v>
      </c>
      <c r="D367" t="s">
        <v>12</v>
      </c>
      <c r="E367" t="s">
        <v>84</v>
      </c>
      <c r="F367" t="s">
        <v>115</v>
      </c>
      <c r="G367">
        <v>31</v>
      </c>
      <c r="H367" t="s">
        <v>118</v>
      </c>
      <c r="I367" s="13">
        <v>45657</v>
      </c>
    </row>
    <row r="368" spans="1:9" x14ac:dyDescent="0.3">
      <c r="A368" s="13">
        <v>45658</v>
      </c>
      <c r="B368">
        <v>2025</v>
      </c>
      <c r="C368">
        <v>1</v>
      </c>
      <c r="D368" t="s">
        <v>13</v>
      </c>
      <c r="E368" t="s">
        <v>55</v>
      </c>
      <c r="F368" t="s">
        <v>104</v>
      </c>
      <c r="G368">
        <v>1</v>
      </c>
      <c r="H368" t="s">
        <v>105</v>
      </c>
      <c r="I368" s="13">
        <v>45688</v>
      </c>
    </row>
    <row r="369" spans="1:9" x14ac:dyDescent="0.3">
      <c r="A369" s="13">
        <v>45659</v>
      </c>
      <c r="B369">
        <v>2025</v>
      </c>
      <c r="C369">
        <v>1</v>
      </c>
      <c r="D369" t="s">
        <v>13</v>
      </c>
      <c r="E369" t="s">
        <v>55</v>
      </c>
      <c r="F369" t="s">
        <v>104</v>
      </c>
      <c r="G369">
        <v>2</v>
      </c>
      <c r="H369" t="s">
        <v>105</v>
      </c>
      <c r="I369" s="13">
        <v>45688</v>
      </c>
    </row>
    <row r="370" spans="1:9" x14ac:dyDescent="0.3">
      <c r="A370" s="13">
        <v>45660</v>
      </c>
      <c r="B370">
        <v>2025</v>
      </c>
      <c r="C370">
        <v>1</v>
      </c>
      <c r="D370" t="s">
        <v>13</v>
      </c>
      <c r="E370" t="s">
        <v>55</v>
      </c>
      <c r="F370" t="s">
        <v>104</v>
      </c>
      <c r="G370">
        <v>3</v>
      </c>
      <c r="H370" t="s">
        <v>105</v>
      </c>
      <c r="I370" s="13">
        <v>45688</v>
      </c>
    </row>
    <row r="371" spans="1:9" x14ac:dyDescent="0.3">
      <c r="A371" s="13">
        <v>45661</v>
      </c>
      <c r="B371">
        <v>2025</v>
      </c>
      <c r="C371">
        <v>1</v>
      </c>
      <c r="D371" t="s">
        <v>13</v>
      </c>
      <c r="E371" t="s">
        <v>55</v>
      </c>
      <c r="F371" t="s">
        <v>104</v>
      </c>
      <c r="G371">
        <v>4</v>
      </c>
      <c r="H371" t="s">
        <v>105</v>
      </c>
      <c r="I371" s="13">
        <v>45688</v>
      </c>
    </row>
    <row r="372" spans="1:9" x14ac:dyDescent="0.3">
      <c r="A372" s="13">
        <v>45662</v>
      </c>
      <c r="B372">
        <v>2025</v>
      </c>
      <c r="C372">
        <v>1</v>
      </c>
      <c r="D372" t="s">
        <v>13</v>
      </c>
      <c r="E372" t="s">
        <v>55</v>
      </c>
      <c r="F372" t="s">
        <v>104</v>
      </c>
      <c r="G372">
        <v>5</v>
      </c>
      <c r="H372" t="s">
        <v>105</v>
      </c>
      <c r="I372" s="13">
        <v>45688</v>
      </c>
    </row>
    <row r="373" spans="1:9" x14ac:dyDescent="0.3">
      <c r="A373" s="13">
        <v>45663</v>
      </c>
      <c r="B373">
        <v>2025</v>
      </c>
      <c r="C373">
        <v>1</v>
      </c>
      <c r="D373" t="s">
        <v>13</v>
      </c>
      <c r="E373" t="s">
        <v>55</v>
      </c>
      <c r="F373" t="s">
        <v>104</v>
      </c>
      <c r="G373">
        <v>6</v>
      </c>
      <c r="H373" t="s">
        <v>105</v>
      </c>
      <c r="I373" s="13">
        <v>45688</v>
      </c>
    </row>
    <row r="374" spans="1:9" x14ac:dyDescent="0.3">
      <c r="A374" s="13">
        <v>45664</v>
      </c>
      <c r="B374">
        <v>2025</v>
      </c>
      <c r="C374">
        <v>1</v>
      </c>
      <c r="D374" t="s">
        <v>13</v>
      </c>
      <c r="E374" t="s">
        <v>55</v>
      </c>
      <c r="F374" t="s">
        <v>104</v>
      </c>
      <c r="G374">
        <v>7</v>
      </c>
      <c r="H374" t="s">
        <v>105</v>
      </c>
      <c r="I374" s="13">
        <v>45688</v>
      </c>
    </row>
    <row r="375" spans="1:9" x14ac:dyDescent="0.3">
      <c r="A375" s="13">
        <v>45665</v>
      </c>
      <c r="B375">
        <v>2025</v>
      </c>
      <c r="C375">
        <v>1</v>
      </c>
      <c r="D375" t="s">
        <v>13</v>
      </c>
      <c r="E375" t="s">
        <v>55</v>
      </c>
      <c r="F375" t="s">
        <v>104</v>
      </c>
      <c r="G375">
        <v>8</v>
      </c>
      <c r="H375" t="s">
        <v>105</v>
      </c>
      <c r="I375" s="13">
        <v>45688</v>
      </c>
    </row>
    <row r="376" spans="1:9" x14ac:dyDescent="0.3">
      <c r="A376" s="13">
        <v>45666</v>
      </c>
      <c r="B376">
        <v>2025</v>
      </c>
      <c r="C376">
        <v>1</v>
      </c>
      <c r="D376" t="s">
        <v>13</v>
      </c>
      <c r="E376" t="s">
        <v>55</v>
      </c>
      <c r="F376" t="s">
        <v>104</v>
      </c>
      <c r="G376">
        <v>9</v>
      </c>
      <c r="H376" t="s">
        <v>105</v>
      </c>
      <c r="I376" s="13">
        <v>45688</v>
      </c>
    </row>
    <row r="377" spans="1:9" x14ac:dyDescent="0.3">
      <c r="A377" s="13">
        <v>45667</v>
      </c>
      <c r="B377">
        <v>2025</v>
      </c>
      <c r="C377">
        <v>1</v>
      </c>
      <c r="D377" t="s">
        <v>13</v>
      </c>
      <c r="E377" t="s">
        <v>55</v>
      </c>
      <c r="F377" t="s">
        <v>104</v>
      </c>
      <c r="G377">
        <v>10</v>
      </c>
      <c r="H377" t="s">
        <v>105</v>
      </c>
      <c r="I377" s="13">
        <v>45688</v>
      </c>
    </row>
    <row r="378" spans="1:9" x14ac:dyDescent="0.3">
      <c r="A378" s="13">
        <v>45668</v>
      </c>
      <c r="B378">
        <v>2025</v>
      </c>
      <c r="C378">
        <v>1</v>
      </c>
      <c r="D378" t="s">
        <v>13</v>
      </c>
      <c r="E378" t="s">
        <v>55</v>
      </c>
      <c r="F378" t="s">
        <v>104</v>
      </c>
      <c r="G378">
        <v>11</v>
      </c>
      <c r="H378" t="s">
        <v>105</v>
      </c>
      <c r="I378" s="13">
        <v>45688</v>
      </c>
    </row>
    <row r="379" spans="1:9" x14ac:dyDescent="0.3">
      <c r="A379" s="13">
        <v>45669</v>
      </c>
      <c r="B379">
        <v>2025</v>
      </c>
      <c r="C379">
        <v>1</v>
      </c>
      <c r="D379" t="s">
        <v>13</v>
      </c>
      <c r="E379" t="s">
        <v>55</v>
      </c>
      <c r="F379" t="s">
        <v>104</v>
      </c>
      <c r="G379">
        <v>12</v>
      </c>
      <c r="H379" t="s">
        <v>105</v>
      </c>
      <c r="I379" s="13">
        <v>45688</v>
      </c>
    </row>
    <row r="380" spans="1:9" x14ac:dyDescent="0.3">
      <c r="A380" s="13">
        <v>45670</v>
      </c>
      <c r="B380">
        <v>2025</v>
      </c>
      <c r="C380">
        <v>1</v>
      </c>
      <c r="D380" t="s">
        <v>13</v>
      </c>
      <c r="E380" t="s">
        <v>55</v>
      </c>
      <c r="F380" t="s">
        <v>104</v>
      </c>
      <c r="G380">
        <v>13</v>
      </c>
      <c r="H380" t="s">
        <v>105</v>
      </c>
      <c r="I380" s="13">
        <v>45688</v>
      </c>
    </row>
    <row r="381" spans="1:9" x14ac:dyDescent="0.3">
      <c r="A381" s="13">
        <v>45671</v>
      </c>
      <c r="B381">
        <v>2025</v>
      </c>
      <c r="C381">
        <v>1</v>
      </c>
      <c r="D381" t="s">
        <v>13</v>
      </c>
      <c r="E381" t="s">
        <v>55</v>
      </c>
      <c r="F381" t="s">
        <v>104</v>
      </c>
      <c r="G381">
        <v>14</v>
      </c>
      <c r="H381" t="s">
        <v>105</v>
      </c>
      <c r="I381" s="13">
        <v>45688</v>
      </c>
    </row>
    <row r="382" spans="1:9" x14ac:dyDescent="0.3">
      <c r="A382" s="13">
        <v>45672</v>
      </c>
      <c r="B382">
        <v>2025</v>
      </c>
      <c r="C382">
        <v>1</v>
      </c>
      <c r="D382" t="s">
        <v>13</v>
      </c>
      <c r="E382" t="s">
        <v>55</v>
      </c>
      <c r="F382" t="s">
        <v>104</v>
      </c>
      <c r="G382">
        <v>15</v>
      </c>
      <c r="H382" t="s">
        <v>105</v>
      </c>
      <c r="I382" s="13">
        <v>45688</v>
      </c>
    </row>
    <row r="383" spans="1:9" x14ac:dyDescent="0.3">
      <c r="A383" s="13">
        <v>45673</v>
      </c>
      <c r="B383">
        <v>2025</v>
      </c>
      <c r="C383">
        <v>1</v>
      </c>
      <c r="D383" t="s">
        <v>13</v>
      </c>
      <c r="E383" t="s">
        <v>55</v>
      </c>
      <c r="F383" t="s">
        <v>104</v>
      </c>
      <c r="G383">
        <v>16</v>
      </c>
      <c r="H383" t="s">
        <v>105</v>
      </c>
      <c r="I383" s="13">
        <v>45688</v>
      </c>
    </row>
    <row r="384" spans="1:9" x14ac:dyDescent="0.3">
      <c r="A384" s="13">
        <v>45674</v>
      </c>
      <c r="B384">
        <v>2025</v>
      </c>
      <c r="C384">
        <v>1</v>
      </c>
      <c r="D384" t="s">
        <v>13</v>
      </c>
      <c r="E384" t="s">
        <v>55</v>
      </c>
      <c r="F384" t="s">
        <v>104</v>
      </c>
      <c r="G384">
        <v>17</v>
      </c>
      <c r="H384" t="s">
        <v>105</v>
      </c>
      <c r="I384" s="13">
        <v>45688</v>
      </c>
    </row>
    <row r="385" spans="1:9" x14ac:dyDescent="0.3">
      <c r="A385" s="13">
        <v>45675</v>
      </c>
      <c r="B385">
        <v>2025</v>
      </c>
      <c r="C385">
        <v>1</v>
      </c>
      <c r="D385" t="s">
        <v>13</v>
      </c>
      <c r="E385" t="s">
        <v>55</v>
      </c>
      <c r="F385" t="s">
        <v>104</v>
      </c>
      <c r="G385">
        <v>18</v>
      </c>
      <c r="H385" t="s">
        <v>105</v>
      </c>
      <c r="I385" s="13">
        <v>45688</v>
      </c>
    </row>
    <row r="386" spans="1:9" x14ac:dyDescent="0.3">
      <c r="A386" s="13">
        <v>45676</v>
      </c>
      <c r="B386">
        <v>2025</v>
      </c>
      <c r="C386">
        <v>1</v>
      </c>
      <c r="D386" t="s">
        <v>13</v>
      </c>
      <c r="E386" t="s">
        <v>55</v>
      </c>
      <c r="F386" t="s">
        <v>104</v>
      </c>
      <c r="G386">
        <v>19</v>
      </c>
      <c r="H386" t="s">
        <v>105</v>
      </c>
      <c r="I386" s="13">
        <v>45688</v>
      </c>
    </row>
    <row r="387" spans="1:9" x14ac:dyDescent="0.3">
      <c r="A387" s="13">
        <v>45677</v>
      </c>
      <c r="B387">
        <v>2025</v>
      </c>
      <c r="C387">
        <v>1</v>
      </c>
      <c r="D387" t="s">
        <v>13</v>
      </c>
      <c r="E387" t="s">
        <v>55</v>
      </c>
      <c r="F387" t="s">
        <v>104</v>
      </c>
      <c r="G387">
        <v>20</v>
      </c>
      <c r="H387" t="s">
        <v>105</v>
      </c>
      <c r="I387" s="13">
        <v>45688</v>
      </c>
    </row>
    <row r="388" spans="1:9" x14ac:dyDescent="0.3">
      <c r="A388" s="13">
        <v>45678</v>
      </c>
      <c r="B388">
        <v>2025</v>
      </c>
      <c r="C388">
        <v>1</v>
      </c>
      <c r="D388" t="s">
        <v>13</v>
      </c>
      <c r="E388" t="s">
        <v>55</v>
      </c>
      <c r="F388" t="s">
        <v>104</v>
      </c>
      <c r="G388">
        <v>21</v>
      </c>
      <c r="H388" t="s">
        <v>105</v>
      </c>
      <c r="I388" s="13">
        <v>45688</v>
      </c>
    </row>
    <row r="389" spans="1:9" x14ac:dyDescent="0.3">
      <c r="A389" s="13">
        <v>45679</v>
      </c>
      <c r="B389">
        <v>2025</v>
      </c>
      <c r="C389">
        <v>1</v>
      </c>
      <c r="D389" t="s">
        <v>13</v>
      </c>
      <c r="E389" t="s">
        <v>55</v>
      </c>
      <c r="F389" t="s">
        <v>104</v>
      </c>
      <c r="G389">
        <v>22</v>
      </c>
      <c r="H389" t="s">
        <v>105</v>
      </c>
      <c r="I389" s="13">
        <v>45688</v>
      </c>
    </row>
    <row r="390" spans="1:9" x14ac:dyDescent="0.3">
      <c r="A390" s="13">
        <v>45680</v>
      </c>
      <c r="B390">
        <v>2025</v>
      </c>
      <c r="C390">
        <v>1</v>
      </c>
      <c r="D390" t="s">
        <v>13</v>
      </c>
      <c r="E390" t="s">
        <v>55</v>
      </c>
      <c r="F390" t="s">
        <v>104</v>
      </c>
      <c r="G390">
        <v>23</v>
      </c>
      <c r="H390" t="s">
        <v>105</v>
      </c>
      <c r="I390" s="13">
        <v>45688</v>
      </c>
    </row>
    <row r="391" spans="1:9" x14ac:dyDescent="0.3">
      <c r="A391" s="13">
        <v>45681</v>
      </c>
      <c r="B391">
        <v>2025</v>
      </c>
      <c r="C391">
        <v>1</v>
      </c>
      <c r="D391" t="s">
        <v>13</v>
      </c>
      <c r="E391" t="s">
        <v>55</v>
      </c>
      <c r="F391" t="s">
        <v>104</v>
      </c>
      <c r="G391">
        <v>24</v>
      </c>
      <c r="H391" t="s">
        <v>105</v>
      </c>
      <c r="I391" s="13">
        <v>45688</v>
      </c>
    </row>
    <row r="392" spans="1:9" x14ac:dyDescent="0.3">
      <c r="A392" s="13">
        <v>45682</v>
      </c>
      <c r="B392">
        <v>2025</v>
      </c>
      <c r="C392">
        <v>1</v>
      </c>
      <c r="D392" t="s">
        <v>13</v>
      </c>
      <c r="E392" t="s">
        <v>55</v>
      </c>
      <c r="F392" t="s">
        <v>104</v>
      </c>
      <c r="G392">
        <v>25</v>
      </c>
      <c r="H392" t="s">
        <v>105</v>
      </c>
      <c r="I392" s="13">
        <v>45688</v>
      </c>
    </row>
    <row r="393" spans="1:9" x14ac:dyDescent="0.3">
      <c r="A393" s="13">
        <v>45683</v>
      </c>
      <c r="B393">
        <v>2025</v>
      </c>
      <c r="C393">
        <v>1</v>
      </c>
      <c r="D393" t="s">
        <v>13</v>
      </c>
      <c r="E393" t="s">
        <v>55</v>
      </c>
      <c r="F393" t="s">
        <v>104</v>
      </c>
      <c r="G393">
        <v>26</v>
      </c>
      <c r="H393" t="s">
        <v>105</v>
      </c>
      <c r="I393" s="13">
        <v>45688</v>
      </c>
    </row>
    <row r="394" spans="1:9" x14ac:dyDescent="0.3">
      <c r="A394" s="13">
        <v>45684</v>
      </c>
      <c r="B394">
        <v>2025</v>
      </c>
      <c r="C394">
        <v>1</v>
      </c>
      <c r="D394" t="s">
        <v>13</v>
      </c>
      <c r="E394" t="s">
        <v>55</v>
      </c>
      <c r="F394" t="s">
        <v>104</v>
      </c>
      <c r="G394">
        <v>27</v>
      </c>
      <c r="H394" t="s">
        <v>105</v>
      </c>
      <c r="I394" s="13">
        <v>45688</v>
      </c>
    </row>
    <row r="395" spans="1:9" x14ac:dyDescent="0.3">
      <c r="A395" s="13">
        <v>45685</v>
      </c>
      <c r="B395">
        <v>2025</v>
      </c>
      <c r="C395">
        <v>1</v>
      </c>
      <c r="D395" t="s">
        <v>13</v>
      </c>
      <c r="E395" t="s">
        <v>55</v>
      </c>
      <c r="F395" t="s">
        <v>104</v>
      </c>
      <c r="G395">
        <v>28</v>
      </c>
      <c r="H395" t="s">
        <v>105</v>
      </c>
      <c r="I395" s="13">
        <v>45688</v>
      </c>
    </row>
    <row r="396" spans="1:9" x14ac:dyDescent="0.3">
      <c r="A396" s="13">
        <v>45686</v>
      </c>
      <c r="B396">
        <v>2025</v>
      </c>
      <c r="C396">
        <v>1</v>
      </c>
      <c r="D396" t="s">
        <v>13</v>
      </c>
      <c r="E396" t="s">
        <v>55</v>
      </c>
      <c r="F396" t="s">
        <v>104</v>
      </c>
      <c r="G396">
        <v>29</v>
      </c>
      <c r="H396" t="s">
        <v>105</v>
      </c>
      <c r="I396" s="13">
        <v>45688</v>
      </c>
    </row>
    <row r="397" spans="1:9" x14ac:dyDescent="0.3">
      <c r="A397" s="13">
        <v>45687</v>
      </c>
      <c r="B397">
        <v>2025</v>
      </c>
      <c r="C397">
        <v>1</v>
      </c>
      <c r="D397" t="s">
        <v>13</v>
      </c>
      <c r="E397" t="s">
        <v>55</v>
      </c>
      <c r="F397" t="s">
        <v>104</v>
      </c>
      <c r="G397">
        <v>30</v>
      </c>
      <c r="H397" t="s">
        <v>105</v>
      </c>
      <c r="I397" s="13">
        <v>45688</v>
      </c>
    </row>
    <row r="398" spans="1:9" x14ac:dyDescent="0.3">
      <c r="A398" s="13">
        <v>45688</v>
      </c>
      <c r="B398">
        <v>2025</v>
      </c>
      <c r="C398">
        <v>1</v>
      </c>
      <c r="D398" t="s">
        <v>13</v>
      </c>
      <c r="E398" t="s">
        <v>55</v>
      </c>
      <c r="F398" t="s">
        <v>104</v>
      </c>
      <c r="G398">
        <v>31</v>
      </c>
      <c r="H398" t="s">
        <v>105</v>
      </c>
      <c r="I398" s="13">
        <v>45688</v>
      </c>
    </row>
    <row r="399" spans="1:9" x14ac:dyDescent="0.3">
      <c r="A399" s="13">
        <v>45689</v>
      </c>
      <c r="B399">
        <v>2025</v>
      </c>
      <c r="C399">
        <v>2</v>
      </c>
      <c r="D399" t="s">
        <v>2</v>
      </c>
      <c r="E399" t="s">
        <v>56</v>
      </c>
      <c r="F399" t="s">
        <v>104</v>
      </c>
      <c r="G399">
        <v>1</v>
      </c>
      <c r="H399" t="s">
        <v>106</v>
      </c>
      <c r="I399" s="13">
        <v>45716</v>
      </c>
    </row>
    <row r="400" spans="1:9" x14ac:dyDescent="0.3">
      <c r="A400" s="13">
        <v>45690</v>
      </c>
      <c r="B400">
        <v>2025</v>
      </c>
      <c r="C400">
        <v>2</v>
      </c>
      <c r="D400" t="s">
        <v>2</v>
      </c>
      <c r="E400" t="s">
        <v>56</v>
      </c>
      <c r="F400" t="s">
        <v>104</v>
      </c>
      <c r="G400">
        <v>2</v>
      </c>
      <c r="H400" t="s">
        <v>106</v>
      </c>
      <c r="I400" s="13">
        <v>45716</v>
      </c>
    </row>
    <row r="401" spans="1:9" x14ac:dyDescent="0.3">
      <c r="A401" s="13">
        <v>45691</v>
      </c>
      <c r="B401">
        <v>2025</v>
      </c>
      <c r="C401">
        <v>2</v>
      </c>
      <c r="D401" t="s">
        <v>2</v>
      </c>
      <c r="E401" t="s">
        <v>56</v>
      </c>
      <c r="F401" t="s">
        <v>104</v>
      </c>
      <c r="G401">
        <v>3</v>
      </c>
      <c r="H401" t="s">
        <v>106</v>
      </c>
      <c r="I401" s="13">
        <v>45716</v>
      </c>
    </row>
    <row r="402" spans="1:9" x14ac:dyDescent="0.3">
      <c r="A402" s="13">
        <v>45692</v>
      </c>
      <c r="B402">
        <v>2025</v>
      </c>
      <c r="C402">
        <v>2</v>
      </c>
      <c r="D402" t="s">
        <v>2</v>
      </c>
      <c r="E402" t="s">
        <v>56</v>
      </c>
      <c r="F402" t="s">
        <v>104</v>
      </c>
      <c r="G402">
        <v>4</v>
      </c>
      <c r="H402" t="s">
        <v>106</v>
      </c>
      <c r="I402" s="13">
        <v>45716</v>
      </c>
    </row>
    <row r="403" spans="1:9" x14ac:dyDescent="0.3">
      <c r="A403" s="13">
        <v>45693</v>
      </c>
      <c r="B403">
        <v>2025</v>
      </c>
      <c r="C403">
        <v>2</v>
      </c>
      <c r="D403" t="s">
        <v>2</v>
      </c>
      <c r="E403" t="s">
        <v>56</v>
      </c>
      <c r="F403" t="s">
        <v>104</v>
      </c>
      <c r="G403">
        <v>5</v>
      </c>
      <c r="H403" t="s">
        <v>106</v>
      </c>
      <c r="I403" s="13">
        <v>45716</v>
      </c>
    </row>
    <row r="404" spans="1:9" x14ac:dyDescent="0.3">
      <c r="A404" s="13">
        <v>45694</v>
      </c>
      <c r="B404">
        <v>2025</v>
      </c>
      <c r="C404">
        <v>2</v>
      </c>
      <c r="D404" t="s">
        <v>2</v>
      </c>
      <c r="E404" t="s">
        <v>56</v>
      </c>
      <c r="F404" t="s">
        <v>104</v>
      </c>
      <c r="G404">
        <v>6</v>
      </c>
      <c r="H404" t="s">
        <v>106</v>
      </c>
      <c r="I404" s="13">
        <v>45716</v>
      </c>
    </row>
    <row r="405" spans="1:9" x14ac:dyDescent="0.3">
      <c r="A405" s="13">
        <v>45695</v>
      </c>
      <c r="B405">
        <v>2025</v>
      </c>
      <c r="C405">
        <v>2</v>
      </c>
      <c r="D405" t="s">
        <v>2</v>
      </c>
      <c r="E405" t="s">
        <v>56</v>
      </c>
      <c r="F405" t="s">
        <v>104</v>
      </c>
      <c r="G405">
        <v>7</v>
      </c>
      <c r="H405" t="s">
        <v>106</v>
      </c>
      <c r="I405" s="13">
        <v>45716</v>
      </c>
    </row>
    <row r="406" spans="1:9" x14ac:dyDescent="0.3">
      <c r="A406" s="13">
        <v>45696</v>
      </c>
      <c r="B406">
        <v>2025</v>
      </c>
      <c r="C406">
        <v>2</v>
      </c>
      <c r="D406" t="s">
        <v>2</v>
      </c>
      <c r="E406" t="s">
        <v>56</v>
      </c>
      <c r="F406" t="s">
        <v>104</v>
      </c>
      <c r="G406">
        <v>8</v>
      </c>
      <c r="H406" t="s">
        <v>106</v>
      </c>
      <c r="I406" s="13">
        <v>45716</v>
      </c>
    </row>
    <row r="407" spans="1:9" x14ac:dyDescent="0.3">
      <c r="A407" s="13">
        <v>45697</v>
      </c>
      <c r="B407">
        <v>2025</v>
      </c>
      <c r="C407">
        <v>2</v>
      </c>
      <c r="D407" t="s">
        <v>2</v>
      </c>
      <c r="E407" t="s">
        <v>56</v>
      </c>
      <c r="F407" t="s">
        <v>104</v>
      </c>
      <c r="G407">
        <v>9</v>
      </c>
      <c r="H407" t="s">
        <v>106</v>
      </c>
      <c r="I407" s="13">
        <v>45716</v>
      </c>
    </row>
    <row r="408" spans="1:9" x14ac:dyDescent="0.3">
      <c r="A408" s="13">
        <v>45698</v>
      </c>
      <c r="B408">
        <v>2025</v>
      </c>
      <c r="C408">
        <v>2</v>
      </c>
      <c r="D408" t="s">
        <v>2</v>
      </c>
      <c r="E408" t="s">
        <v>56</v>
      </c>
      <c r="F408" t="s">
        <v>104</v>
      </c>
      <c r="G408">
        <v>10</v>
      </c>
      <c r="H408" t="s">
        <v>106</v>
      </c>
      <c r="I408" s="13">
        <v>45716</v>
      </c>
    </row>
    <row r="409" spans="1:9" x14ac:dyDescent="0.3">
      <c r="A409" s="13">
        <v>45699</v>
      </c>
      <c r="B409">
        <v>2025</v>
      </c>
      <c r="C409">
        <v>2</v>
      </c>
      <c r="D409" t="s">
        <v>2</v>
      </c>
      <c r="E409" t="s">
        <v>56</v>
      </c>
      <c r="F409" t="s">
        <v>104</v>
      </c>
      <c r="G409">
        <v>11</v>
      </c>
      <c r="H409" t="s">
        <v>106</v>
      </c>
      <c r="I409" s="13">
        <v>45716</v>
      </c>
    </row>
    <row r="410" spans="1:9" x14ac:dyDescent="0.3">
      <c r="A410" s="13">
        <v>45700</v>
      </c>
      <c r="B410">
        <v>2025</v>
      </c>
      <c r="C410">
        <v>2</v>
      </c>
      <c r="D410" t="s">
        <v>2</v>
      </c>
      <c r="E410" t="s">
        <v>56</v>
      </c>
      <c r="F410" t="s">
        <v>104</v>
      </c>
      <c r="G410">
        <v>12</v>
      </c>
      <c r="H410" t="s">
        <v>106</v>
      </c>
      <c r="I410" s="13">
        <v>45716</v>
      </c>
    </row>
    <row r="411" spans="1:9" x14ac:dyDescent="0.3">
      <c r="A411" s="13">
        <v>45701</v>
      </c>
      <c r="B411">
        <v>2025</v>
      </c>
      <c r="C411">
        <v>2</v>
      </c>
      <c r="D411" t="s">
        <v>2</v>
      </c>
      <c r="E411" t="s">
        <v>56</v>
      </c>
      <c r="F411" t="s">
        <v>104</v>
      </c>
      <c r="G411">
        <v>13</v>
      </c>
      <c r="H411" t="s">
        <v>106</v>
      </c>
      <c r="I411" s="13">
        <v>45716</v>
      </c>
    </row>
    <row r="412" spans="1:9" x14ac:dyDescent="0.3">
      <c r="A412" s="13">
        <v>45702</v>
      </c>
      <c r="B412">
        <v>2025</v>
      </c>
      <c r="C412">
        <v>2</v>
      </c>
      <c r="D412" t="s">
        <v>2</v>
      </c>
      <c r="E412" t="s">
        <v>56</v>
      </c>
      <c r="F412" t="s">
        <v>104</v>
      </c>
      <c r="G412">
        <v>14</v>
      </c>
      <c r="H412" t="s">
        <v>106</v>
      </c>
      <c r="I412" s="13">
        <v>45716</v>
      </c>
    </row>
    <row r="413" spans="1:9" x14ac:dyDescent="0.3">
      <c r="A413" s="13">
        <v>45703</v>
      </c>
      <c r="B413">
        <v>2025</v>
      </c>
      <c r="C413">
        <v>2</v>
      </c>
      <c r="D413" t="s">
        <v>2</v>
      </c>
      <c r="E413" t="s">
        <v>56</v>
      </c>
      <c r="F413" t="s">
        <v>104</v>
      </c>
      <c r="G413">
        <v>15</v>
      </c>
      <c r="H413" t="s">
        <v>106</v>
      </c>
      <c r="I413" s="13">
        <v>45716</v>
      </c>
    </row>
    <row r="414" spans="1:9" x14ac:dyDescent="0.3">
      <c r="A414" s="13">
        <v>45704</v>
      </c>
      <c r="B414">
        <v>2025</v>
      </c>
      <c r="C414">
        <v>2</v>
      </c>
      <c r="D414" t="s">
        <v>2</v>
      </c>
      <c r="E414" t="s">
        <v>56</v>
      </c>
      <c r="F414" t="s">
        <v>104</v>
      </c>
      <c r="G414">
        <v>16</v>
      </c>
      <c r="H414" t="s">
        <v>106</v>
      </c>
      <c r="I414" s="13">
        <v>45716</v>
      </c>
    </row>
    <row r="415" spans="1:9" x14ac:dyDescent="0.3">
      <c r="A415" s="13">
        <v>45705</v>
      </c>
      <c r="B415">
        <v>2025</v>
      </c>
      <c r="C415">
        <v>2</v>
      </c>
      <c r="D415" t="s">
        <v>2</v>
      </c>
      <c r="E415" t="s">
        <v>56</v>
      </c>
      <c r="F415" t="s">
        <v>104</v>
      </c>
      <c r="G415">
        <v>17</v>
      </c>
      <c r="H415" t="s">
        <v>106</v>
      </c>
      <c r="I415" s="13">
        <v>45716</v>
      </c>
    </row>
    <row r="416" spans="1:9" x14ac:dyDescent="0.3">
      <c r="A416" s="13">
        <v>45706</v>
      </c>
      <c r="B416">
        <v>2025</v>
      </c>
      <c r="C416">
        <v>2</v>
      </c>
      <c r="D416" t="s">
        <v>2</v>
      </c>
      <c r="E416" t="s">
        <v>56</v>
      </c>
      <c r="F416" t="s">
        <v>104</v>
      </c>
      <c r="G416">
        <v>18</v>
      </c>
      <c r="H416" t="s">
        <v>106</v>
      </c>
      <c r="I416" s="13">
        <v>45716</v>
      </c>
    </row>
    <row r="417" spans="1:9" x14ac:dyDescent="0.3">
      <c r="A417" s="13">
        <v>45707</v>
      </c>
      <c r="B417">
        <v>2025</v>
      </c>
      <c r="C417">
        <v>2</v>
      </c>
      <c r="D417" t="s">
        <v>2</v>
      </c>
      <c r="E417" t="s">
        <v>56</v>
      </c>
      <c r="F417" t="s">
        <v>104</v>
      </c>
      <c r="G417">
        <v>19</v>
      </c>
      <c r="H417" t="s">
        <v>106</v>
      </c>
      <c r="I417" s="13">
        <v>45716</v>
      </c>
    </row>
    <row r="418" spans="1:9" x14ac:dyDescent="0.3">
      <c r="A418" s="13">
        <v>45708</v>
      </c>
      <c r="B418">
        <v>2025</v>
      </c>
      <c r="C418">
        <v>2</v>
      </c>
      <c r="D418" t="s">
        <v>2</v>
      </c>
      <c r="E418" t="s">
        <v>56</v>
      </c>
      <c r="F418" t="s">
        <v>104</v>
      </c>
      <c r="G418">
        <v>20</v>
      </c>
      <c r="H418" t="s">
        <v>106</v>
      </c>
      <c r="I418" s="13">
        <v>45716</v>
      </c>
    </row>
    <row r="419" spans="1:9" x14ac:dyDescent="0.3">
      <c r="A419" s="13">
        <v>45709</v>
      </c>
      <c r="B419">
        <v>2025</v>
      </c>
      <c r="C419">
        <v>2</v>
      </c>
      <c r="D419" t="s">
        <v>2</v>
      </c>
      <c r="E419" t="s">
        <v>56</v>
      </c>
      <c r="F419" t="s">
        <v>104</v>
      </c>
      <c r="G419">
        <v>21</v>
      </c>
      <c r="H419" t="s">
        <v>106</v>
      </c>
      <c r="I419" s="13">
        <v>45716</v>
      </c>
    </row>
    <row r="420" spans="1:9" x14ac:dyDescent="0.3">
      <c r="A420" s="13">
        <v>45710</v>
      </c>
      <c r="B420">
        <v>2025</v>
      </c>
      <c r="C420">
        <v>2</v>
      </c>
      <c r="D420" t="s">
        <v>2</v>
      </c>
      <c r="E420" t="s">
        <v>56</v>
      </c>
      <c r="F420" t="s">
        <v>104</v>
      </c>
      <c r="G420">
        <v>22</v>
      </c>
      <c r="H420" t="s">
        <v>106</v>
      </c>
      <c r="I420" s="13">
        <v>45716</v>
      </c>
    </row>
    <row r="421" spans="1:9" x14ac:dyDescent="0.3">
      <c r="A421" s="13">
        <v>45711</v>
      </c>
      <c r="B421">
        <v>2025</v>
      </c>
      <c r="C421">
        <v>2</v>
      </c>
      <c r="D421" t="s">
        <v>2</v>
      </c>
      <c r="E421" t="s">
        <v>56</v>
      </c>
      <c r="F421" t="s">
        <v>104</v>
      </c>
      <c r="G421">
        <v>23</v>
      </c>
      <c r="H421" t="s">
        <v>106</v>
      </c>
      <c r="I421" s="13">
        <v>45716</v>
      </c>
    </row>
    <row r="422" spans="1:9" x14ac:dyDescent="0.3">
      <c r="A422" s="13">
        <v>45712</v>
      </c>
      <c r="B422">
        <v>2025</v>
      </c>
      <c r="C422">
        <v>2</v>
      </c>
      <c r="D422" t="s">
        <v>2</v>
      </c>
      <c r="E422" t="s">
        <v>56</v>
      </c>
      <c r="F422" t="s">
        <v>104</v>
      </c>
      <c r="G422">
        <v>24</v>
      </c>
      <c r="H422" t="s">
        <v>106</v>
      </c>
      <c r="I422" s="13">
        <v>45716</v>
      </c>
    </row>
    <row r="423" spans="1:9" x14ac:dyDescent="0.3">
      <c r="A423" s="13">
        <v>45713</v>
      </c>
      <c r="B423">
        <v>2025</v>
      </c>
      <c r="C423">
        <v>2</v>
      </c>
      <c r="D423" t="s">
        <v>2</v>
      </c>
      <c r="E423" t="s">
        <v>56</v>
      </c>
      <c r="F423" t="s">
        <v>104</v>
      </c>
      <c r="G423">
        <v>25</v>
      </c>
      <c r="H423" t="s">
        <v>106</v>
      </c>
      <c r="I423" s="13">
        <v>45716</v>
      </c>
    </row>
    <row r="424" spans="1:9" x14ac:dyDescent="0.3">
      <c r="A424" s="13">
        <v>45714</v>
      </c>
      <c r="B424">
        <v>2025</v>
      </c>
      <c r="C424">
        <v>2</v>
      </c>
      <c r="D424" t="s">
        <v>2</v>
      </c>
      <c r="E424" t="s">
        <v>56</v>
      </c>
      <c r="F424" t="s">
        <v>104</v>
      </c>
      <c r="G424">
        <v>26</v>
      </c>
      <c r="H424" t="s">
        <v>106</v>
      </c>
      <c r="I424" s="13">
        <v>45716</v>
      </c>
    </row>
    <row r="425" spans="1:9" x14ac:dyDescent="0.3">
      <c r="A425" s="13">
        <v>45715</v>
      </c>
      <c r="B425">
        <v>2025</v>
      </c>
      <c r="C425">
        <v>2</v>
      </c>
      <c r="D425" t="s">
        <v>2</v>
      </c>
      <c r="E425" t="s">
        <v>56</v>
      </c>
      <c r="F425" t="s">
        <v>104</v>
      </c>
      <c r="G425">
        <v>27</v>
      </c>
      <c r="H425" t="s">
        <v>106</v>
      </c>
      <c r="I425" s="13">
        <v>45716</v>
      </c>
    </row>
    <row r="426" spans="1:9" x14ac:dyDescent="0.3">
      <c r="A426" s="13">
        <v>45716</v>
      </c>
      <c r="B426">
        <v>2025</v>
      </c>
      <c r="C426">
        <v>2</v>
      </c>
      <c r="D426" t="s">
        <v>2</v>
      </c>
      <c r="E426" t="s">
        <v>56</v>
      </c>
      <c r="F426" t="s">
        <v>104</v>
      </c>
      <c r="G426">
        <v>28</v>
      </c>
      <c r="H426" t="s">
        <v>106</v>
      </c>
      <c r="I426" s="13">
        <v>45716</v>
      </c>
    </row>
    <row r="427" spans="1:9" x14ac:dyDescent="0.3">
      <c r="A427" s="13">
        <v>45717</v>
      </c>
      <c r="B427">
        <v>2025</v>
      </c>
      <c r="C427">
        <v>3</v>
      </c>
      <c r="D427" t="s">
        <v>3</v>
      </c>
      <c r="E427" t="s">
        <v>57</v>
      </c>
      <c r="F427" t="s">
        <v>104</v>
      </c>
      <c r="G427">
        <v>1</v>
      </c>
      <c r="H427" t="s">
        <v>107</v>
      </c>
      <c r="I427" s="13">
        <v>45747</v>
      </c>
    </row>
    <row r="428" spans="1:9" x14ac:dyDescent="0.3">
      <c r="A428" s="13">
        <v>45718</v>
      </c>
      <c r="B428">
        <v>2025</v>
      </c>
      <c r="C428">
        <v>3</v>
      </c>
      <c r="D428" t="s">
        <v>3</v>
      </c>
      <c r="E428" t="s">
        <v>57</v>
      </c>
      <c r="F428" t="s">
        <v>104</v>
      </c>
      <c r="G428">
        <v>2</v>
      </c>
      <c r="H428" t="s">
        <v>107</v>
      </c>
      <c r="I428" s="13">
        <v>45747</v>
      </c>
    </row>
    <row r="429" spans="1:9" x14ac:dyDescent="0.3">
      <c r="A429" s="13">
        <v>45719</v>
      </c>
      <c r="B429">
        <v>2025</v>
      </c>
      <c r="C429">
        <v>3</v>
      </c>
      <c r="D429" t="s">
        <v>3</v>
      </c>
      <c r="E429" t="s">
        <v>57</v>
      </c>
      <c r="F429" t="s">
        <v>104</v>
      </c>
      <c r="G429">
        <v>3</v>
      </c>
      <c r="H429" t="s">
        <v>107</v>
      </c>
      <c r="I429" s="13">
        <v>45747</v>
      </c>
    </row>
    <row r="430" spans="1:9" x14ac:dyDescent="0.3">
      <c r="A430" s="13">
        <v>45720</v>
      </c>
      <c r="B430">
        <v>2025</v>
      </c>
      <c r="C430">
        <v>3</v>
      </c>
      <c r="D430" t="s">
        <v>3</v>
      </c>
      <c r="E430" t="s">
        <v>57</v>
      </c>
      <c r="F430" t="s">
        <v>104</v>
      </c>
      <c r="G430">
        <v>4</v>
      </c>
      <c r="H430" t="s">
        <v>107</v>
      </c>
      <c r="I430" s="13">
        <v>45747</v>
      </c>
    </row>
    <row r="431" spans="1:9" x14ac:dyDescent="0.3">
      <c r="A431" s="13">
        <v>45721</v>
      </c>
      <c r="B431">
        <v>2025</v>
      </c>
      <c r="C431">
        <v>3</v>
      </c>
      <c r="D431" t="s">
        <v>3</v>
      </c>
      <c r="E431" t="s">
        <v>57</v>
      </c>
      <c r="F431" t="s">
        <v>104</v>
      </c>
      <c r="G431">
        <v>5</v>
      </c>
      <c r="H431" t="s">
        <v>107</v>
      </c>
      <c r="I431" s="13">
        <v>45747</v>
      </c>
    </row>
    <row r="432" spans="1:9" x14ac:dyDescent="0.3">
      <c r="A432" s="13">
        <v>45722</v>
      </c>
      <c r="B432">
        <v>2025</v>
      </c>
      <c r="C432">
        <v>3</v>
      </c>
      <c r="D432" t="s">
        <v>3</v>
      </c>
      <c r="E432" t="s">
        <v>57</v>
      </c>
      <c r="F432" t="s">
        <v>104</v>
      </c>
      <c r="G432">
        <v>6</v>
      </c>
      <c r="H432" t="s">
        <v>107</v>
      </c>
      <c r="I432" s="13">
        <v>45747</v>
      </c>
    </row>
    <row r="433" spans="1:9" x14ac:dyDescent="0.3">
      <c r="A433" s="13">
        <v>45723</v>
      </c>
      <c r="B433">
        <v>2025</v>
      </c>
      <c r="C433">
        <v>3</v>
      </c>
      <c r="D433" t="s">
        <v>3</v>
      </c>
      <c r="E433" t="s">
        <v>57</v>
      </c>
      <c r="F433" t="s">
        <v>104</v>
      </c>
      <c r="G433">
        <v>7</v>
      </c>
      <c r="H433" t="s">
        <v>107</v>
      </c>
      <c r="I433" s="13">
        <v>45747</v>
      </c>
    </row>
    <row r="434" spans="1:9" x14ac:dyDescent="0.3">
      <c r="A434" s="13">
        <v>45724</v>
      </c>
      <c r="B434">
        <v>2025</v>
      </c>
      <c r="C434">
        <v>3</v>
      </c>
      <c r="D434" t="s">
        <v>3</v>
      </c>
      <c r="E434" t="s">
        <v>57</v>
      </c>
      <c r="F434" t="s">
        <v>104</v>
      </c>
      <c r="G434">
        <v>8</v>
      </c>
      <c r="H434" t="s">
        <v>107</v>
      </c>
      <c r="I434" s="13">
        <v>45747</v>
      </c>
    </row>
    <row r="435" spans="1:9" x14ac:dyDescent="0.3">
      <c r="A435" s="13">
        <v>45725</v>
      </c>
      <c r="B435">
        <v>2025</v>
      </c>
      <c r="C435">
        <v>3</v>
      </c>
      <c r="D435" t="s">
        <v>3</v>
      </c>
      <c r="E435" t="s">
        <v>57</v>
      </c>
      <c r="F435" t="s">
        <v>104</v>
      </c>
      <c r="G435">
        <v>9</v>
      </c>
      <c r="H435" t="s">
        <v>107</v>
      </c>
      <c r="I435" s="13">
        <v>45747</v>
      </c>
    </row>
    <row r="436" spans="1:9" x14ac:dyDescent="0.3">
      <c r="A436" s="13">
        <v>45726</v>
      </c>
      <c r="B436">
        <v>2025</v>
      </c>
      <c r="C436">
        <v>3</v>
      </c>
      <c r="D436" t="s">
        <v>3</v>
      </c>
      <c r="E436" t="s">
        <v>57</v>
      </c>
      <c r="F436" t="s">
        <v>104</v>
      </c>
      <c r="G436">
        <v>10</v>
      </c>
      <c r="H436" t="s">
        <v>107</v>
      </c>
      <c r="I436" s="13">
        <v>45747</v>
      </c>
    </row>
    <row r="437" spans="1:9" x14ac:dyDescent="0.3">
      <c r="A437" s="13">
        <v>45727</v>
      </c>
      <c r="B437">
        <v>2025</v>
      </c>
      <c r="C437">
        <v>3</v>
      </c>
      <c r="D437" t="s">
        <v>3</v>
      </c>
      <c r="E437" t="s">
        <v>57</v>
      </c>
      <c r="F437" t="s">
        <v>104</v>
      </c>
      <c r="G437">
        <v>11</v>
      </c>
      <c r="H437" t="s">
        <v>107</v>
      </c>
      <c r="I437" s="13">
        <v>45747</v>
      </c>
    </row>
    <row r="438" spans="1:9" x14ac:dyDescent="0.3">
      <c r="A438" s="13">
        <v>45728</v>
      </c>
      <c r="B438">
        <v>2025</v>
      </c>
      <c r="C438">
        <v>3</v>
      </c>
      <c r="D438" t="s">
        <v>3</v>
      </c>
      <c r="E438" t="s">
        <v>57</v>
      </c>
      <c r="F438" t="s">
        <v>104</v>
      </c>
      <c r="G438">
        <v>12</v>
      </c>
      <c r="H438" t="s">
        <v>107</v>
      </c>
      <c r="I438" s="13">
        <v>45747</v>
      </c>
    </row>
    <row r="439" spans="1:9" x14ac:dyDescent="0.3">
      <c r="A439" s="13">
        <v>45729</v>
      </c>
      <c r="B439">
        <v>2025</v>
      </c>
      <c r="C439">
        <v>3</v>
      </c>
      <c r="D439" t="s">
        <v>3</v>
      </c>
      <c r="E439" t="s">
        <v>57</v>
      </c>
      <c r="F439" t="s">
        <v>104</v>
      </c>
      <c r="G439">
        <v>13</v>
      </c>
      <c r="H439" t="s">
        <v>107</v>
      </c>
      <c r="I439" s="13">
        <v>45747</v>
      </c>
    </row>
    <row r="440" spans="1:9" x14ac:dyDescent="0.3">
      <c r="A440" s="13">
        <v>45730</v>
      </c>
      <c r="B440">
        <v>2025</v>
      </c>
      <c r="C440">
        <v>3</v>
      </c>
      <c r="D440" t="s">
        <v>3</v>
      </c>
      <c r="E440" t="s">
        <v>57</v>
      </c>
      <c r="F440" t="s">
        <v>104</v>
      </c>
      <c r="G440">
        <v>14</v>
      </c>
      <c r="H440" t="s">
        <v>107</v>
      </c>
      <c r="I440" s="13">
        <v>45747</v>
      </c>
    </row>
    <row r="441" spans="1:9" x14ac:dyDescent="0.3">
      <c r="A441" s="13">
        <v>45731</v>
      </c>
      <c r="B441">
        <v>2025</v>
      </c>
      <c r="C441">
        <v>3</v>
      </c>
      <c r="D441" t="s">
        <v>3</v>
      </c>
      <c r="E441" t="s">
        <v>57</v>
      </c>
      <c r="F441" t="s">
        <v>104</v>
      </c>
      <c r="G441">
        <v>15</v>
      </c>
      <c r="H441" t="s">
        <v>107</v>
      </c>
      <c r="I441" s="13">
        <v>45747</v>
      </c>
    </row>
    <row r="442" spans="1:9" x14ac:dyDescent="0.3">
      <c r="A442" s="13">
        <v>45732</v>
      </c>
      <c r="B442">
        <v>2025</v>
      </c>
      <c r="C442">
        <v>3</v>
      </c>
      <c r="D442" t="s">
        <v>3</v>
      </c>
      <c r="E442" t="s">
        <v>57</v>
      </c>
      <c r="F442" t="s">
        <v>104</v>
      </c>
      <c r="G442">
        <v>16</v>
      </c>
      <c r="H442" t="s">
        <v>107</v>
      </c>
      <c r="I442" s="13">
        <v>45747</v>
      </c>
    </row>
    <row r="443" spans="1:9" x14ac:dyDescent="0.3">
      <c r="A443" s="13">
        <v>45733</v>
      </c>
      <c r="B443">
        <v>2025</v>
      </c>
      <c r="C443">
        <v>3</v>
      </c>
      <c r="D443" t="s">
        <v>3</v>
      </c>
      <c r="E443" t="s">
        <v>57</v>
      </c>
      <c r="F443" t="s">
        <v>104</v>
      </c>
      <c r="G443">
        <v>17</v>
      </c>
      <c r="H443" t="s">
        <v>107</v>
      </c>
      <c r="I443" s="13">
        <v>45747</v>
      </c>
    </row>
    <row r="444" spans="1:9" x14ac:dyDescent="0.3">
      <c r="A444" s="13">
        <v>45734</v>
      </c>
      <c r="B444">
        <v>2025</v>
      </c>
      <c r="C444">
        <v>3</v>
      </c>
      <c r="D444" t="s">
        <v>3</v>
      </c>
      <c r="E444" t="s">
        <v>57</v>
      </c>
      <c r="F444" t="s">
        <v>104</v>
      </c>
      <c r="G444">
        <v>18</v>
      </c>
      <c r="H444" t="s">
        <v>107</v>
      </c>
      <c r="I444" s="13">
        <v>45747</v>
      </c>
    </row>
    <row r="445" spans="1:9" x14ac:dyDescent="0.3">
      <c r="A445" s="13">
        <v>45735</v>
      </c>
      <c r="B445">
        <v>2025</v>
      </c>
      <c r="C445">
        <v>3</v>
      </c>
      <c r="D445" t="s">
        <v>3</v>
      </c>
      <c r="E445" t="s">
        <v>57</v>
      </c>
      <c r="F445" t="s">
        <v>104</v>
      </c>
      <c r="G445">
        <v>19</v>
      </c>
      <c r="H445" t="s">
        <v>107</v>
      </c>
      <c r="I445" s="13">
        <v>45747</v>
      </c>
    </row>
    <row r="446" spans="1:9" x14ac:dyDescent="0.3">
      <c r="A446" s="13">
        <v>45736</v>
      </c>
      <c r="B446">
        <v>2025</v>
      </c>
      <c r="C446">
        <v>3</v>
      </c>
      <c r="D446" t="s">
        <v>3</v>
      </c>
      <c r="E446" t="s">
        <v>57</v>
      </c>
      <c r="F446" t="s">
        <v>104</v>
      </c>
      <c r="G446">
        <v>20</v>
      </c>
      <c r="H446" t="s">
        <v>107</v>
      </c>
      <c r="I446" s="13">
        <v>45747</v>
      </c>
    </row>
    <row r="447" spans="1:9" x14ac:dyDescent="0.3">
      <c r="A447" s="13">
        <v>45737</v>
      </c>
      <c r="B447">
        <v>2025</v>
      </c>
      <c r="C447">
        <v>3</v>
      </c>
      <c r="D447" t="s">
        <v>3</v>
      </c>
      <c r="E447" t="s">
        <v>57</v>
      </c>
      <c r="F447" t="s">
        <v>104</v>
      </c>
      <c r="G447">
        <v>21</v>
      </c>
      <c r="H447" t="s">
        <v>107</v>
      </c>
      <c r="I447" s="13">
        <v>45747</v>
      </c>
    </row>
    <row r="448" spans="1:9" x14ac:dyDescent="0.3">
      <c r="A448" s="13">
        <v>45738</v>
      </c>
      <c r="B448">
        <v>2025</v>
      </c>
      <c r="C448">
        <v>3</v>
      </c>
      <c r="D448" t="s">
        <v>3</v>
      </c>
      <c r="E448" t="s">
        <v>57</v>
      </c>
      <c r="F448" t="s">
        <v>104</v>
      </c>
      <c r="G448">
        <v>22</v>
      </c>
      <c r="H448" t="s">
        <v>107</v>
      </c>
      <c r="I448" s="13">
        <v>45747</v>
      </c>
    </row>
    <row r="449" spans="1:9" x14ac:dyDescent="0.3">
      <c r="A449" s="13">
        <v>45739</v>
      </c>
      <c r="B449">
        <v>2025</v>
      </c>
      <c r="C449">
        <v>3</v>
      </c>
      <c r="D449" t="s">
        <v>3</v>
      </c>
      <c r="E449" t="s">
        <v>57</v>
      </c>
      <c r="F449" t="s">
        <v>104</v>
      </c>
      <c r="G449">
        <v>23</v>
      </c>
      <c r="H449" t="s">
        <v>107</v>
      </c>
      <c r="I449" s="13">
        <v>45747</v>
      </c>
    </row>
    <row r="450" spans="1:9" x14ac:dyDescent="0.3">
      <c r="A450" s="13">
        <v>45740</v>
      </c>
      <c r="B450">
        <v>2025</v>
      </c>
      <c r="C450">
        <v>3</v>
      </c>
      <c r="D450" t="s">
        <v>3</v>
      </c>
      <c r="E450" t="s">
        <v>57</v>
      </c>
      <c r="F450" t="s">
        <v>104</v>
      </c>
      <c r="G450">
        <v>24</v>
      </c>
      <c r="H450" t="s">
        <v>107</v>
      </c>
      <c r="I450" s="13">
        <v>45747</v>
      </c>
    </row>
    <row r="451" spans="1:9" x14ac:dyDescent="0.3">
      <c r="A451" s="13">
        <v>45741</v>
      </c>
      <c r="B451">
        <v>2025</v>
      </c>
      <c r="C451">
        <v>3</v>
      </c>
      <c r="D451" t="s">
        <v>3</v>
      </c>
      <c r="E451" t="s">
        <v>57</v>
      </c>
      <c r="F451" t="s">
        <v>104</v>
      </c>
      <c r="G451">
        <v>25</v>
      </c>
      <c r="H451" t="s">
        <v>107</v>
      </c>
      <c r="I451" s="13">
        <v>45747</v>
      </c>
    </row>
    <row r="452" spans="1:9" x14ac:dyDescent="0.3">
      <c r="A452" s="13">
        <v>45742</v>
      </c>
      <c r="B452">
        <v>2025</v>
      </c>
      <c r="C452">
        <v>3</v>
      </c>
      <c r="D452" t="s">
        <v>3</v>
      </c>
      <c r="E452" t="s">
        <v>57</v>
      </c>
      <c r="F452" t="s">
        <v>104</v>
      </c>
      <c r="G452">
        <v>26</v>
      </c>
      <c r="H452" t="s">
        <v>107</v>
      </c>
      <c r="I452" s="13">
        <v>45747</v>
      </c>
    </row>
    <row r="453" spans="1:9" x14ac:dyDescent="0.3">
      <c r="A453" s="13">
        <v>45743</v>
      </c>
      <c r="B453">
        <v>2025</v>
      </c>
      <c r="C453">
        <v>3</v>
      </c>
      <c r="D453" t="s">
        <v>3</v>
      </c>
      <c r="E453" t="s">
        <v>57</v>
      </c>
      <c r="F453" t="s">
        <v>104</v>
      </c>
      <c r="G453">
        <v>27</v>
      </c>
      <c r="H453" t="s">
        <v>107</v>
      </c>
      <c r="I453" s="13">
        <v>45747</v>
      </c>
    </row>
    <row r="454" spans="1:9" x14ac:dyDescent="0.3">
      <c r="A454" s="13">
        <v>45744</v>
      </c>
      <c r="B454">
        <v>2025</v>
      </c>
      <c r="C454">
        <v>3</v>
      </c>
      <c r="D454" t="s">
        <v>3</v>
      </c>
      <c r="E454" t="s">
        <v>57</v>
      </c>
      <c r="F454" t="s">
        <v>104</v>
      </c>
      <c r="G454">
        <v>28</v>
      </c>
      <c r="H454" t="s">
        <v>107</v>
      </c>
      <c r="I454" s="13">
        <v>45747</v>
      </c>
    </row>
    <row r="455" spans="1:9" x14ac:dyDescent="0.3">
      <c r="A455" s="13">
        <v>45745</v>
      </c>
      <c r="B455">
        <v>2025</v>
      </c>
      <c r="C455">
        <v>3</v>
      </c>
      <c r="D455" t="s">
        <v>3</v>
      </c>
      <c r="E455" t="s">
        <v>57</v>
      </c>
      <c r="F455" t="s">
        <v>104</v>
      </c>
      <c r="G455">
        <v>29</v>
      </c>
      <c r="H455" t="s">
        <v>107</v>
      </c>
      <c r="I455" s="13">
        <v>45747</v>
      </c>
    </row>
    <row r="456" spans="1:9" x14ac:dyDescent="0.3">
      <c r="A456" s="13">
        <v>45746</v>
      </c>
      <c r="B456">
        <v>2025</v>
      </c>
      <c r="C456">
        <v>3</v>
      </c>
      <c r="D456" t="s">
        <v>3</v>
      </c>
      <c r="E456" t="s">
        <v>57</v>
      </c>
      <c r="F456" t="s">
        <v>104</v>
      </c>
      <c r="G456">
        <v>30</v>
      </c>
      <c r="H456" t="s">
        <v>107</v>
      </c>
      <c r="I456" s="13">
        <v>45747</v>
      </c>
    </row>
    <row r="457" spans="1:9" x14ac:dyDescent="0.3">
      <c r="A457" s="13">
        <v>45747</v>
      </c>
      <c r="B457">
        <v>2025</v>
      </c>
      <c r="C457">
        <v>3</v>
      </c>
      <c r="D457" t="s">
        <v>3</v>
      </c>
      <c r="E457" t="s">
        <v>57</v>
      </c>
      <c r="F457" t="s">
        <v>104</v>
      </c>
      <c r="G457">
        <v>31</v>
      </c>
      <c r="H457" t="s">
        <v>107</v>
      </c>
      <c r="I457" s="13">
        <v>45747</v>
      </c>
    </row>
    <row r="458" spans="1:9" x14ac:dyDescent="0.3">
      <c r="A458" s="13">
        <v>45748</v>
      </c>
      <c r="B458">
        <v>2025</v>
      </c>
      <c r="C458">
        <v>4</v>
      </c>
      <c r="D458" t="s">
        <v>4</v>
      </c>
      <c r="E458" t="s">
        <v>58</v>
      </c>
      <c r="F458" t="s">
        <v>108</v>
      </c>
      <c r="G458">
        <v>1</v>
      </c>
      <c r="H458" t="s">
        <v>109</v>
      </c>
      <c r="I458" s="13">
        <v>45777</v>
      </c>
    </row>
    <row r="459" spans="1:9" x14ac:dyDescent="0.3">
      <c r="A459" s="13">
        <v>45749</v>
      </c>
      <c r="B459">
        <v>2025</v>
      </c>
      <c r="C459">
        <v>4</v>
      </c>
      <c r="D459" t="s">
        <v>4</v>
      </c>
      <c r="E459" t="s">
        <v>58</v>
      </c>
      <c r="F459" t="s">
        <v>108</v>
      </c>
      <c r="G459">
        <v>2</v>
      </c>
      <c r="H459" t="s">
        <v>109</v>
      </c>
      <c r="I459" s="13">
        <v>45777</v>
      </c>
    </row>
    <row r="460" spans="1:9" x14ac:dyDescent="0.3">
      <c r="A460" s="13">
        <v>45750</v>
      </c>
      <c r="B460">
        <v>2025</v>
      </c>
      <c r="C460">
        <v>4</v>
      </c>
      <c r="D460" t="s">
        <v>4</v>
      </c>
      <c r="E460" t="s">
        <v>58</v>
      </c>
      <c r="F460" t="s">
        <v>108</v>
      </c>
      <c r="G460">
        <v>3</v>
      </c>
      <c r="H460" t="s">
        <v>109</v>
      </c>
      <c r="I460" s="13">
        <v>45777</v>
      </c>
    </row>
    <row r="461" spans="1:9" x14ac:dyDescent="0.3">
      <c r="A461" s="13">
        <v>45751</v>
      </c>
      <c r="B461">
        <v>2025</v>
      </c>
      <c r="C461">
        <v>4</v>
      </c>
      <c r="D461" t="s">
        <v>4</v>
      </c>
      <c r="E461" t="s">
        <v>58</v>
      </c>
      <c r="F461" t="s">
        <v>108</v>
      </c>
      <c r="G461">
        <v>4</v>
      </c>
      <c r="H461" t="s">
        <v>109</v>
      </c>
      <c r="I461" s="13">
        <v>45777</v>
      </c>
    </row>
    <row r="462" spans="1:9" x14ac:dyDescent="0.3">
      <c r="A462" s="13">
        <v>45752</v>
      </c>
      <c r="B462">
        <v>2025</v>
      </c>
      <c r="C462">
        <v>4</v>
      </c>
      <c r="D462" t="s">
        <v>4</v>
      </c>
      <c r="E462" t="s">
        <v>58</v>
      </c>
      <c r="F462" t="s">
        <v>108</v>
      </c>
      <c r="G462">
        <v>5</v>
      </c>
      <c r="H462" t="s">
        <v>109</v>
      </c>
      <c r="I462" s="13">
        <v>45777</v>
      </c>
    </row>
    <row r="463" spans="1:9" x14ac:dyDescent="0.3">
      <c r="A463" s="13">
        <v>45753</v>
      </c>
      <c r="B463">
        <v>2025</v>
      </c>
      <c r="C463">
        <v>4</v>
      </c>
      <c r="D463" t="s">
        <v>4</v>
      </c>
      <c r="E463" t="s">
        <v>58</v>
      </c>
      <c r="F463" t="s">
        <v>108</v>
      </c>
      <c r="G463">
        <v>6</v>
      </c>
      <c r="H463" t="s">
        <v>109</v>
      </c>
      <c r="I463" s="13">
        <v>45777</v>
      </c>
    </row>
    <row r="464" spans="1:9" x14ac:dyDescent="0.3">
      <c r="A464" s="13">
        <v>45754</v>
      </c>
      <c r="B464">
        <v>2025</v>
      </c>
      <c r="C464">
        <v>4</v>
      </c>
      <c r="D464" t="s">
        <v>4</v>
      </c>
      <c r="E464" t="s">
        <v>58</v>
      </c>
      <c r="F464" t="s">
        <v>108</v>
      </c>
      <c r="G464">
        <v>7</v>
      </c>
      <c r="H464" t="s">
        <v>109</v>
      </c>
      <c r="I464" s="13">
        <v>45777</v>
      </c>
    </row>
    <row r="465" spans="1:9" x14ac:dyDescent="0.3">
      <c r="A465" s="13">
        <v>45755</v>
      </c>
      <c r="B465">
        <v>2025</v>
      </c>
      <c r="C465">
        <v>4</v>
      </c>
      <c r="D465" t="s">
        <v>4</v>
      </c>
      <c r="E465" t="s">
        <v>58</v>
      </c>
      <c r="F465" t="s">
        <v>108</v>
      </c>
      <c r="G465">
        <v>8</v>
      </c>
      <c r="H465" t="s">
        <v>109</v>
      </c>
      <c r="I465" s="13">
        <v>45777</v>
      </c>
    </row>
    <row r="466" spans="1:9" x14ac:dyDescent="0.3">
      <c r="A466" s="13">
        <v>45756</v>
      </c>
      <c r="B466">
        <v>2025</v>
      </c>
      <c r="C466">
        <v>4</v>
      </c>
      <c r="D466" t="s">
        <v>4</v>
      </c>
      <c r="E466" t="s">
        <v>58</v>
      </c>
      <c r="F466" t="s">
        <v>108</v>
      </c>
      <c r="G466">
        <v>9</v>
      </c>
      <c r="H466" t="s">
        <v>109</v>
      </c>
      <c r="I466" s="13">
        <v>45777</v>
      </c>
    </row>
    <row r="467" spans="1:9" x14ac:dyDescent="0.3">
      <c r="A467" s="13">
        <v>45757</v>
      </c>
      <c r="B467">
        <v>2025</v>
      </c>
      <c r="C467">
        <v>4</v>
      </c>
      <c r="D467" t="s">
        <v>4</v>
      </c>
      <c r="E467" t="s">
        <v>58</v>
      </c>
      <c r="F467" t="s">
        <v>108</v>
      </c>
      <c r="G467">
        <v>10</v>
      </c>
      <c r="H467" t="s">
        <v>109</v>
      </c>
      <c r="I467" s="13">
        <v>45777</v>
      </c>
    </row>
    <row r="468" spans="1:9" x14ac:dyDescent="0.3">
      <c r="A468" s="13">
        <v>45758</v>
      </c>
      <c r="B468">
        <v>2025</v>
      </c>
      <c r="C468">
        <v>4</v>
      </c>
      <c r="D468" t="s">
        <v>4</v>
      </c>
      <c r="E468" t="s">
        <v>58</v>
      </c>
      <c r="F468" t="s">
        <v>108</v>
      </c>
      <c r="G468">
        <v>11</v>
      </c>
      <c r="H468" t="s">
        <v>109</v>
      </c>
      <c r="I468" s="13">
        <v>45777</v>
      </c>
    </row>
    <row r="469" spans="1:9" x14ac:dyDescent="0.3">
      <c r="A469" s="13">
        <v>45759</v>
      </c>
      <c r="B469">
        <v>2025</v>
      </c>
      <c r="C469">
        <v>4</v>
      </c>
      <c r="D469" t="s">
        <v>4</v>
      </c>
      <c r="E469" t="s">
        <v>58</v>
      </c>
      <c r="F469" t="s">
        <v>108</v>
      </c>
      <c r="G469">
        <v>12</v>
      </c>
      <c r="H469" t="s">
        <v>109</v>
      </c>
      <c r="I469" s="13">
        <v>45777</v>
      </c>
    </row>
    <row r="470" spans="1:9" x14ac:dyDescent="0.3">
      <c r="A470" s="13">
        <v>45760</v>
      </c>
      <c r="B470">
        <v>2025</v>
      </c>
      <c r="C470">
        <v>4</v>
      </c>
      <c r="D470" t="s">
        <v>4</v>
      </c>
      <c r="E470" t="s">
        <v>58</v>
      </c>
      <c r="F470" t="s">
        <v>108</v>
      </c>
      <c r="G470">
        <v>13</v>
      </c>
      <c r="H470" t="s">
        <v>109</v>
      </c>
      <c r="I470" s="13">
        <v>45777</v>
      </c>
    </row>
    <row r="471" spans="1:9" x14ac:dyDescent="0.3">
      <c r="A471" s="13">
        <v>45761</v>
      </c>
      <c r="B471">
        <v>2025</v>
      </c>
      <c r="C471">
        <v>4</v>
      </c>
      <c r="D471" t="s">
        <v>4</v>
      </c>
      <c r="E471" t="s">
        <v>58</v>
      </c>
      <c r="F471" t="s">
        <v>108</v>
      </c>
      <c r="G471">
        <v>14</v>
      </c>
      <c r="H471" t="s">
        <v>109</v>
      </c>
      <c r="I471" s="13">
        <v>45777</v>
      </c>
    </row>
    <row r="472" spans="1:9" x14ac:dyDescent="0.3">
      <c r="A472" s="13">
        <v>45762</v>
      </c>
      <c r="B472">
        <v>2025</v>
      </c>
      <c r="C472">
        <v>4</v>
      </c>
      <c r="D472" t="s">
        <v>4</v>
      </c>
      <c r="E472" t="s">
        <v>58</v>
      </c>
      <c r="F472" t="s">
        <v>108</v>
      </c>
      <c r="G472">
        <v>15</v>
      </c>
      <c r="H472" t="s">
        <v>109</v>
      </c>
      <c r="I472" s="13">
        <v>45777</v>
      </c>
    </row>
    <row r="473" spans="1:9" x14ac:dyDescent="0.3">
      <c r="A473" s="13">
        <v>45763</v>
      </c>
      <c r="B473">
        <v>2025</v>
      </c>
      <c r="C473">
        <v>4</v>
      </c>
      <c r="D473" t="s">
        <v>4</v>
      </c>
      <c r="E473" t="s">
        <v>58</v>
      </c>
      <c r="F473" t="s">
        <v>108</v>
      </c>
      <c r="G473">
        <v>16</v>
      </c>
      <c r="H473" t="s">
        <v>109</v>
      </c>
      <c r="I473" s="13">
        <v>45777</v>
      </c>
    </row>
    <row r="474" spans="1:9" x14ac:dyDescent="0.3">
      <c r="A474" s="13">
        <v>45764</v>
      </c>
      <c r="B474">
        <v>2025</v>
      </c>
      <c r="C474">
        <v>4</v>
      </c>
      <c r="D474" t="s">
        <v>4</v>
      </c>
      <c r="E474" t="s">
        <v>58</v>
      </c>
      <c r="F474" t="s">
        <v>108</v>
      </c>
      <c r="G474">
        <v>17</v>
      </c>
      <c r="H474" t="s">
        <v>109</v>
      </c>
      <c r="I474" s="13">
        <v>45777</v>
      </c>
    </row>
    <row r="475" spans="1:9" x14ac:dyDescent="0.3">
      <c r="A475" s="13">
        <v>45765</v>
      </c>
      <c r="B475">
        <v>2025</v>
      </c>
      <c r="C475">
        <v>4</v>
      </c>
      <c r="D475" t="s">
        <v>4</v>
      </c>
      <c r="E475" t="s">
        <v>58</v>
      </c>
      <c r="F475" t="s">
        <v>108</v>
      </c>
      <c r="G475">
        <v>18</v>
      </c>
      <c r="H475" t="s">
        <v>109</v>
      </c>
      <c r="I475" s="13">
        <v>45777</v>
      </c>
    </row>
    <row r="476" spans="1:9" x14ac:dyDescent="0.3">
      <c r="A476" s="13">
        <v>45766</v>
      </c>
      <c r="B476">
        <v>2025</v>
      </c>
      <c r="C476">
        <v>4</v>
      </c>
      <c r="D476" t="s">
        <v>4</v>
      </c>
      <c r="E476" t="s">
        <v>58</v>
      </c>
      <c r="F476" t="s">
        <v>108</v>
      </c>
      <c r="G476">
        <v>19</v>
      </c>
      <c r="H476" t="s">
        <v>109</v>
      </c>
      <c r="I476" s="13">
        <v>45777</v>
      </c>
    </row>
    <row r="477" spans="1:9" x14ac:dyDescent="0.3">
      <c r="A477" s="13">
        <v>45767</v>
      </c>
      <c r="B477">
        <v>2025</v>
      </c>
      <c r="C477">
        <v>4</v>
      </c>
      <c r="D477" t="s">
        <v>4</v>
      </c>
      <c r="E477" t="s">
        <v>58</v>
      </c>
      <c r="F477" t="s">
        <v>108</v>
      </c>
      <c r="G477">
        <v>20</v>
      </c>
      <c r="H477" t="s">
        <v>109</v>
      </c>
      <c r="I477" s="13">
        <v>45777</v>
      </c>
    </row>
    <row r="478" spans="1:9" x14ac:dyDescent="0.3">
      <c r="A478" s="13">
        <v>45768</v>
      </c>
      <c r="B478">
        <v>2025</v>
      </c>
      <c r="C478">
        <v>4</v>
      </c>
      <c r="D478" t="s">
        <v>4</v>
      </c>
      <c r="E478" t="s">
        <v>58</v>
      </c>
      <c r="F478" t="s">
        <v>108</v>
      </c>
      <c r="G478">
        <v>21</v>
      </c>
      <c r="H478" t="s">
        <v>109</v>
      </c>
      <c r="I478" s="13">
        <v>45777</v>
      </c>
    </row>
    <row r="479" spans="1:9" x14ac:dyDescent="0.3">
      <c r="A479" s="13">
        <v>45769</v>
      </c>
      <c r="B479">
        <v>2025</v>
      </c>
      <c r="C479">
        <v>4</v>
      </c>
      <c r="D479" t="s">
        <v>4</v>
      </c>
      <c r="E479" t="s">
        <v>58</v>
      </c>
      <c r="F479" t="s">
        <v>108</v>
      </c>
      <c r="G479">
        <v>22</v>
      </c>
      <c r="H479" t="s">
        <v>109</v>
      </c>
      <c r="I479" s="13">
        <v>45777</v>
      </c>
    </row>
    <row r="480" spans="1:9" x14ac:dyDescent="0.3">
      <c r="A480" s="13">
        <v>45770</v>
      </c>
      <c r="B480">
        <v>2025</v>
      </c>
      <c r="C480">
        <v>4</v>
      </c>
      <c r="D480" t="s">
        <v>4</v>
      </c>
      <c r="E480" t="s">
        <v>58</v>
      </c>
      <c r="F480" t="s">
        <v>108</v>
      </c>
      <c r="G480">
        <v>23</v>
      </c>
      <c r="H480" t="s">
        <v>109</v>
      </c>
      <c r="I480" s="13">
        <v>45777</v>
      </c>
    </row>
    <row r="481" spans="1:9" x14ac:dyDescent="0.3">
      <c r="A481" s="13">
        <v>45771</v>
      </c>
      <c r="B481">
        <v>2025</v>
      </c>
      <c r="C481">
        <v>4</v>
      </c>
      <c r="D481" t="s">
        <v>4</v>
      </c>
      <c r="E481" t="s">
        <v>58</v>
      </c>
      <c r="F481" t="s">
        <v>108</v>
      </c>
      <c r="G481">
        <v>24</v>
      </c>
      <c r="H481" t="s">
        <v>109</v>
      </c>
      <c r="I481" s="13">
        <v>45777</v>
      </c>
    </row>
    <row r="482" spans="1:9" x14ac:dyDescent="0.3">
      <c r="A482" s="13">
        <v>45772</v>
      </c>
      <c r="B482">
        <v>2025</v>
      </c>
      <c r="C482">
        <v>4</v>
      </c>
      <c r="D482" t="s">
        <v>4</v>
      </c>
      <c r="E482" t="s">
        <v>58</v>
      </c>
      <c r="F482" t="s">
        <v>108</v>
      </c>
      <c r="G482">
        <v>25</v>
      </c>
      <c r="H482" t="s">
        <v>109</v>
      </c>
      <c r="I482" s="13">
        <v>45777</v>
      </c>
    </row>
    <row r="483" spans="1:9" x14ac:dyDescent="0.3">
      <c r="A483" s="13">
        <v>45773</v>
      </c>
      <c r="B483">
        <v>2025</v>
      </c>
      <c r="C483">
        <v>4</v>
      </c>
      <c r="D483" t="s">
        <v>4</v>
      </c>
      <c r="E483" t="s">
        <v>58</v>
      </c>
      <c r="F483" t="s">
        <v>108</v>
      </c>
      <c r="G483">
        <v>26</v>
      </c>
      <c r="H483" t="s">
        <v>109</v>
      </c>
      <c r="I483" s="13">
        <v>45777</v>
      </c>
    </row>
    <row r="484" spans="1:9" x14ac:dyDescent="0.3">
      <c r="A484" s="13">
        <v>45774</v>
      </c>
      <c r="B484">
        <v>2025</v>
      </c>
      <c r="C484">
        <v>4</v>
      </c>
      <c r="D484" t="s">
        <v>4</v>
      </c>
      <c r="E484" t="s">
        <v>58</v>
      </c>
      <c r="F484" t="s">
        <v>108</v>
      </c>
      <c r="G484">
        <v>27</v>
      </c>
      <c r="H484" t="s">
        <v>109</v>
      </c>
      <c r="I484" s="13">
        <v>45777</v>
      </c>
    </row>
    <row r="485" spans="1:9" x14ac:dyDescent="0.3">
      <c r="A485" s="13">
        <v>45775</v>
      </c>
      <c r="B485">
        <v>2025</v>
      </c>
      <c r="C485">
        <v>4</v>
      </c>
      <c r="D485" t="s">
        <v>4</v>
      </c>
      <c r="E485" t="s">
        <v>58</v>
      </c>
      <c r="F485" t="s">
        <v>108</v>
      </c>
      <c r="G485">
        <v>28</v>
      </c>
      <c r="H485" t="s">
        <v>109</v>
      </c>
      <c r="I485" s="13">
        <v>45777</v>
      </c>
    </row>
    <row r="486" spans="1:9" x14ac:dyDescent="0.3">
      <c r="A486" s="13">
        <v>45776</v>
      </c>
      <c r="B486">
        <v>2025</v>
      </c>
      <c r="C486">
        <v>4</v>
      </c>
      <c r="D486" t="s">
        <v>4</v>
      </c>
      <c r="E486" t="s">
        <v>58</v>
      </c>
      <c r="F486" t="s">
        <v>108</v>
      </c>
      <c r="G486">
        <v>29</v>
      </c>
      <c r="H486" t="s">
        <v>109</v>
      </c>
      <c r="I486" s="13">
        <v>45777</v>
      </c>
    </row>
    <row r="487" spans="1:9" x14ac:dyDescent="0.3">
      <c r="A487" s="13">
        <v>45777</v>
      </c>
      <c r="B487">
        <v>2025</v>
      </c>
      <c r="C487">
        <v>4</v>
      </c>
      <c r="D487" t="s">
        <v>4</v>
      </c>
      <c r="E487" t="s">
        <v>58</v>
      </c>
      <c r="F487" t="s">
        <v>108</v>
      </c>
      <c r="G487">
        <v>30</v>
      </c>
      <c r="H487" t="s">
        <v>109</v>
      </c>
      <c r="I487" s="13">
        <v>45777</v>
      </c>
    </row>
    <row r="488" spans="1:9" x14ac:dyDescent="0.3">
      <c r="A488" s="13">
        <v>45778</v>
      </c>
      <c r="B488">
        <v>2025</v>
      </c>
      <c r="C488">
        <v>5</v>
      </c>
      <c r="D488" t="s">
        <v>5</v>
      </c>
      <c r="E488" t="s">
        <v>59</v>
      </c>
      <c r="F488" t="s">
        <v>108</v>
      </c>
      <c r="G488">
        <v>1</v>
      </c>
      <c r="H488" t="s">
        <v>5</v>
      </c>
      <c r="I488" s="13">
        <v>45808</v>
      </c>
    </row>
    <row r="489" spans="1:9" x14ac:dyDescent="0.3">
      <c r="A489" s="13">
        <v>45779</v>
      </c>
      <c r="B489">
        <v>2025</v>
      </c>
      <c r="C489">
        <v>5</v>
      </c>
      <c r="D489" t="s">
        <v>5</v>
      </c>
      <c r="E489" t="s">
        <v>59</v>
      </c>
      <c r="F489" t="s">
        <v>108</v>
      </c>
      <c r="G489">
        <v>2</v>
      </c>
      <c r="H489" t="s">
        <v>5</v>
      </c>
      <c r="I489" s="13">
        <v>45808</v>
      </c>
    </row>
    <row r="490" spans="1:9" x14ac:dyDescent="0.3">
      <c r="A490" s="13">
        <v>45780</v>
      </c>
      <c r="B490">
        <v>2025</v>
      </c>
      <c r="C490">
        <v>5</v>
      </c>
      <c r="D490" t="s">
        <v>5</v>
      </c>
      <c r="E490" t="s">
        <v>59</v>
      </c>
      <c r="F490" t="s">
        <v>108</v>
      </c>
      <c r="G490">
        <v>3</v>
      </c>
      <c r="H490" t="s">
        <v>5</v>
      </c>
      <c r="I490" s="13">
        <v>45808</v>
      </c>
    </row>
    <row r="491" spans="1:9" x14ac:dyDescent="0.3">
      <c r="A491" s="13">
        <v>45781</v>
      </c>
      <c r="B491">
        <v>2025</v>
      </c>
      <c r="C491">
        <v>5</v>
      </c>
      <c r="D491" t="s">
        <v>5</v>
      </c>
      <c r="E491" t="s">
        <v>59</v>
      </c>
      <c r="F491" t="s">
        <v>108</v>
      </c>
      <c r="G491">
        <v>4</v>
      </c>
      <c r="H491" t="s">
        <v>5</v>
      </c>
      <c r="I491" s="13">
        <v>45808</v>
      </c>
    </row>
    <row r="492" spans="1:9" x14ac:dyDescent="0.3">
      <c r="A492" s="13">
        <v>45782</v>
      </c>
      <c r="B492">
        <v>2025</v>
      </c>
      <c r="C492">
        <v>5</v>
      </c>
      <c r="D492" t="s">
        <v>5</v>
      </c>
      <c r="E492" t="s">
        <v>59</v>
      </c>
      <c r="F492" t="s">
        <v>108</v>
      </c>
      <c r="G492">
        <v>5</v>
      </c>
      <c r="H492" t="s">
        <v>5</v>
      </c>
      <c r="I492" s="13">
        <v>45808</v>
      </c>
    </row>
    <row r="493" spans="1:9" x14ac:dyDescent="0.3">
      <c r="A493" s="13">
        <v>45783</v>
      </c>
      <c r="B493">
        <v>2025</v>
      </c>
      <c r="C493">
        <v>5</v>
      </c>
      <c r="D493" t="s">
        <v>5</v>
      </c>
      <c r="E493" t="s">
        <v>59</v>
      </c>
      <c r="F493" t="s">
        <v>108</v>
      </c>
      <c r="G493">
        <v>6</v>
      </c>
      <c r="H493" t="s">
        <v>5</v>
      </c>
      <c r="I493" s="13">
        <v>45808</v>
      </c>
    </row>
    <row r="494" spans="1:9" x14ac:dyDescent="0.3">
      <c r="A494" s="13">
        <v>45784</v>
      </c>
      <c r="B494">
        <v>2025</v>
      </c>
      <c r="C494">
        <v>5</v>
      </c>
      <c r="D494" t="s">
        <v>5</v>
      </c>
      <c r="E494" t="s">
        <v>59</v>
      </c>
      <c r="F494" t="s">
        <v>108</v>
      </c>
      <c r="G494">
        <v>7</v>
      </c>
      <c r="H494" t="s">
        <v>5</v>
      </c>
      <c r="I494" s="13">
        <v>45808</v>
      </c>
    </row>
    <row r="495" spans="1:9" x14ac:dyDescent="0.3">
      <c r="A495" s="13">
        <v>45785</v>
      </c>
      <c r="B495">
        <v>2025</v>
      </c>
      <c r="C495">
        <v>5</v>
      </c>
      <c r="D495" t="s">
        <v>5</v>
      </c>
      <c r="E495" t="s">
        <v>59</v>
      </c>
      <c r="F495" t="s">
        <v>108</v>
      </c>
      <c r="G495">
        <v>8</v>
      </c>
      <c r="H495" t="s">
        <v>5</v>
      </c>
      <c r="I495" s="13">
        <v>45808</v>
      </c>
    </row>
    <row r="496" spans="1:9" x14ac:dyDescent="0.3">
      <c r="A496" s="13">
        <v>45786</v>
      </c>
      <c r="B496">
        <v>2025</v>
      </c>
      <c r="C496">
        <v>5</v>
      </c>
      <c r="D496" t="s">
        <v>5</v>
      </c>
      <c r="E496" t="s">
        <v>59</v>
      </c>
      <c r="F496" t="s">
        <v>108</v>
      </c>
      <c r="G496">
        <v>9</v>
      </c>
      <c r="H496" t="s">
        <v>5</v>
      </c>
      <c r="I496" s="13">
        <v>45808</v>
      </c>
    </row>
    <row r="497" spans="1:9" x14ac:dyDescent="0.3">
      <c r="A497" s="13">
        <v>45787</v>
      </c>
      <c r="B497">
        <v>2025</v>
      </c>
      <c r="C497">
        <v>5</v>
      </c>
      <c r="D497" t="s">
        <v>5</v>
      </c>
      <c r="E497" t="s">
        <v>59</v>
      </c>
      <c r="F497" t="s">
        <v>108</v>
      </c>
      <c r="G497">
        <v>10</v>
      </c>
      <c r="H497" t="s">
        <v>5</v>
      </c>
      <c r="I497" s="13">
        <v>45808</v>
      </c>
    </row>
    <row r="498" spans="1:9" x14ac:dyDescent="0.3">
      <c r="A498" s="13">
        <v>45788</v>
      </c>
      <c r="B498">
        <v>2025</v>
      </c>
      <c r="C498">
        <v>5</v>
      </c>
      <c r="D498" t="s">
        <v>5</v>
      </c>
      <c r="E498" t="s">
        <v>59</v>
      </c>
      <c r="F498" t="s">
        <v>108</v>
      </c>
      <c r="G498">
        <v>11</v>
      </c>
      <c r="H498" t="s">
        <v>5</v>
      </c>
      <c r="I498" s="13">
        <v>45808</v>
      </c>
    </row>
    <row r="499" spans="1:9" x14ac:dyDescent="0.3">
      <c r="A499" s="13">
        <v>45789</v>
      </c>
      <c r="B499">
        <v>2025</v>
      </c>
      <c r="C499">
        <v>5</v>
      </c>
      <c r="D499" t="s">
        <v>5</v>
      </c>
      <c r="E499" t="s">
        <v>59</v>
      </c>
      <c r="F499" t="s">
        <v>108</v>
      </c>
      <c r="G499">
        <v>12</v>
      </c>
      <c r="H499" t="s">
        <v>5</v>
      </c>
      <c r="I499" s="13">
        <v>45808</v>
      </c>
    </row>
    <row r="500" spans="1:9" x14ac:dyDescent="0.3">
      <c r="A500" s="13">
        <v>45790</v>
      </c>
      <c r="B500">
        <v>2025</v>
      </c>
      <c r="C500">
        <v>5</v>
      </c>
      <c r="D500" t="s">
        <v>5</v>
      </c>
      <c r="E500" t="s">
        <v>59</v>
      </c>
      <c r="F500" t="s">
        <v>108</v>
      </c>
      <c r="G500">
        <v>13</v>
      </c>
      <c r="H500" t="s">
        <v>5</v>
      </c>
      <c r="I500" s="13">
        <v>45808</v>
      </c>
    </row>
    <row r="501" spans="1:9" x14ac:dyDescent="0.3">
      <c r="A501" s="13">
        <v>45791</v>
      </c>
      <c r="B501">
        <v>2025</v>
      </c>
      <c r="C501">
        <v>5</v>
      </c>
      <c r="D501" t="s">
        <v>5</v>
      </c>
      <c r="E501" t="s">
        <v>59</v>
      </c>
      <c r="F501" t="s">
        <v>108</v>
      </c>
      <c r="G501">
        <v>14</v>
      </c>
      <c r="H501" t="s">
        <v>5</v>
      </c>
      <c r="I501" s="13">
        <v>45808</v>
      </c>
    </row>
    <row r="502" spans="1:9" x14ac:dyDescent="0.3">
      <c r="A502" s="13">
        <v>45792</v>
      </c>
      <c r="B502">
        <v>2025</v>
      </c>
      <c r="C502">
        <v>5</v>
      </c>
      <c r="D502" t="s">
        <v>5</v>
      </c>
      <c r="E502" t="s">
        <v>59</v>
      </c>
      <c r="F502" t="s">
        <v>108</v>
      </c>
      <c r="G502">
        <v>15</v>
      </c>
      <c r="H502" t="s">
        <v>5</v>
      </c>
      <c r="I502" s="13">
        <v>45808</v>
      </c>
    </row>
    <row r="503" spans="1:9" x14ac:dyDescent="0.3">
      <c r="A503" s="13">
        <v>45793</v>
      </c>
      <c r="B503">
        <v>2025</v>
      </c>
      <c r="C503">
        <v>5</v>
      </c>
      <c r="D503" t="s">
        <v>5</v>
      </c>
      <c r="E503" t="s">
        <v>59</v>
      </c>
      <c r="F503" t="s">
        <v>108</v>
      </c>
      <c r="G503">
        <v>16</v>
      </c>
      <c r="H503" t="s">
        <v>5</v>
      </c>
      <c r="I503" s="13">
        <v>45808</v>
      </c>
    </row>
    <row r="504" spans="1:9" x14ac:dyDescent="0.3">
      <c r="A504" s="13">
        <v>45794</v>
      </c>
      <c r="B504">
        <v>2025</v>
      </c>
      <c r="C504">
        <v>5</v>
      </c>
      <c r="D504" t="s">
        <v>5</v>
      </c>
      <c r="E504" t="s">
        <v>59</v>
      </c>
      <c r="F504" t="s">
        <v>108</v>
      </c>
      <c r="G504">
        <v>17</v>
      </c>
      <c r="H504" t="s">
        <v>5</v>
      </c>
      <c r="I504" s="13">
        <v>45808</v>
      </c>
    </row>
    <row r="505" spans="1:9" x14ac:dyDescent="0.3">
      <c r="A505" s="13">
        <v>45795</v>
      </c>
      <c r="B505">
        <v>2025</v>
      </c>
      <c r="C505">
        <v>5</v>
      </c>
      <c r="D505" t="s">
        <v>5</v>
      </c>
      <c r="E505" t="s">
        <v>59</v>
      </c>
      <c r="F505" t="s">
        <v>108</v>
      </c>
      <c r="G505">
        <v>18</v>
      </c>
      <c r="H505" t="s">
        <v>5</v>
      </c>
      <c r="I505" s="13">
        <v>45808</v>
      </c>
    </row>
    <row r="506" spans="1:9" x14ac:dyDescent="0.3">
      <c r="A506" s="13">
        <v>45796</v>
      </c>
      <c r="B506">
        <v>2025</v>
      </c>
      <c r="C506">
        <v>5</v>
      </c>
      <c r="D506" t="s">
        <v>5</v>
      </c>
      <c r="E506" t="s">
        <v>59</v>
      </c>
      <c r="F506" t="s">
        <v>108</v>
      </c>
      <c r="G506">
        <v>19</v>
      </c>
      <c r="H506" t="s">
        <v>5</v>
      </c>
      <c r="I506" s="13">
        <v>45808</v>
      </c>
    </row>
    <row r="507" spans="1:9" x14ac:dyDescent="0.3">
      <c r="A507" s="13">
        <v>45797</v>
      </c>
      <c r="B507">
        <v>2025</v>
      </c>
      <c r="C507">
        <v>5</v>
      </c>
      <c r="D507" t="s">
        <v>5</v>
      </c>
      <c r="E507" t="s">
        <v>59</v>
      </c>
      <c r="F507" t="s">
        <v>108</v>
      </c>
      <c r="G507">
        <v>20</v>
      </c>
      <c r="H507" t="s">
        <v>5</v>
      </c>
      <c r="I507" s="13">
        <v>45808</v>
      </c>
    </row>
    <row r="508" spans="1:9" x14ac:dyDescent="0.3">
      <c r="A508" s="13">
        <v>45798</v>
      </c>
      <c r="B508">
        <v>2025</v>
      </c>
      <c r="C508">
        <v>5</v>
      </c>
      <c r="D508" t="s">
        <v>5</v>
      </c>
      <c r="E508" t="s">
        <v>59</v>
      </c>
      <c r="F508" t="s">
        <v>108</v>
      </c>
      <c r="G508">
        <v>21</v>
      </c>
      <c r="H508" t="s">
        <v>5</v>
      </c>
      <c r="I508" s="13">
        <v>45808</v>
      </c>
    </row>
    <row r="509" spans="1:9" x14ac:dyDescent="0.3">
      <c r="A509" s="13">
        <v>45799</v>
      </c>
      <c r="B509">
        <v>2025</v>
      </c>
      <c r="C509">
        <v>5</v>
      </c>
      <c r="D509" t="s">
        <v>5</v>
      </c>
      <c r="E509" t="s">
        <v>59</v>
      </c>
      <c r="F509" t="s">
        <v>108</v>
      </c>
      <c r="G509">
        <v>22</v>
      </c>
      <c r="H509" t="s">
        <v>5</v>
      </c>
      <c r="I509" s="13">
        <v>45808</v>
      </c>
    </row>
    <row r="510" spans="1:9" x14ac:dyDescent="0.3">
      <c r="A510" s="13">
        <v>45800</v>
      </c>
      <c r="B510">
        <v>2025</v>
      </c>
      <c r="C510">
        <v>5</v>
      </c>
      <c r="D510" t="s">
        <v>5</v>
      </c>
      <c r="E510" t="s">
        <v>59</v>
      </c>
      <c r="F510" t="s">
        <v>108</v>
      </c>
      <c r="G510">
        <v>23</v>
      </c>
      <c r="H510" t="s">
        <v>5</v>
      </c>
      <c r="I510" s="13">
        <v>45808</v>
      </c>
    </row>
    <row r="511" spans="1:9" x14ac:dyDescent="0.3">
      <c r="A511" s="13">
        <v>45801</v>
      </c>
      <c r="B511">
        <v>2025</v>
      </c>
      <c r="C511">
        <v>5</v>
      </c>
      <c r="D511" t="s">
        <v>5</v>
      </c>
      <c r="E511" t="s">
        <v>59</v>
      </c>
      <c r="F511" t="s">
        <v>108</v>
      </c>
      <c r="G511">
        <v>24</v>
      </c>
      <c r="H511" t="s">
        <v>5</v>
      </c>
      <c r="I511" s="13">
        <v>45808</v>
      </c>
    </row>
    <row r="512" spans="1:9" x14ac:dyDescent="0.3">
      <c r="A512" s="13">
        <v>45802</v>
      </c>
      <c r="B512">
        <v>2025</v>
      </c>
      <c r="C512">
        <v>5</v>
      </c>
      <c r="D512" t="s">
        <v>5</v>
      </c>
      <c r="E512" t="s">
        <v>59</v>
      </c>
      <c r="F512" t="s">
        <v>108</v>
      </c>
      <c r="G512">
        <v>25</v>
      </c>
      <c r="H512" t="s">
        <v>5</v>
      </c>
      <c r="I512" s="13">
        <v>45808</v>
      </c>
    </row>
    <row r="513" spans="1:9" x14ac:dyDescent="0.3">
      <c r="A513" s="13">
        <v>45803</v>
      </c>
      <c r="B513">
        <v>2025</v>
      </c>
      <c r="C513">
        <v>5</v>
      </c>
      <c r="D513" t="s">
        <v>5</v>
      </c>
      <c r="E513" t="s">
        <v>59</v>
      </c>
      <c r="F513" t="s">
        <v>108</v>
      </c>
      <c r="G513">
        <v>26</v>
      </c>
      <c r="H513" t="s">
        <v>5</v>
      </c>
      <c r="I513" s="13">
        <v>45808</v>
      </c>
    </row>
    <row r="514" spans="1:9" x14ac:dyDescent="0.3">
      <c r="A514" s="13">
        <v>45804</v>
      </c>
      <c r="B514">
        <v>2025</v>
      </c>
      <c r="C514">
        <v>5</v>
      </c>
      <c r="D514" t="s">
        <v>5</v>
      </c>
      <c r="E514" t="s">
        <v>59</v>
      </c>
      <c r="F514" t="s">
        <v>108</v>
      </c>
      <c r="G514">
        <v>27</v>
      </c>
      <c r="H514" t="s">
        <v>5</v>
      </c>
      <c r="I514" s="13">
        <v>45808</v>
      </c>
    </row>
    <row r="515" spans="1:9" x14ac:dyDescent="0.3">
      <c r="A515" s="13">
        <v>45805</v>
      </c>
      <c r="B515">
        <v>2025</v>
      </c>
      <c r="C515">
        <v>5</v>
      </c>
      <c r="D515" t="s">
        <v>5</v>
      </c>
      <c r="E515" t="s">
        <v>59</v>
      </c>
      <c r="F515" t="s">
        <v>108</v>
      </c>
      <c r="G515">
        <v>28</v>
      </c>
      <c r="H515" t="s">
        <v>5</v>
      </c>
      <c r="I515" s="13">
        <v>45808</v>
      </c>
    </row>
    <row r="516" spans="1:9" x14ac:dyDescent="0.3">
      <c r="A516" s="13">
        <v>45806</v>
      </c>
      <c r="B516">
        <v>2025</v>
      </c>
      <c r="C516">
        <v>5</v>
      </c>
      <c r="D516" t="s">
        <v>5</v>
      </c>
      <c r="E516" t="s">
        <v>59</v>
      </c>
      <c r="F516" t="s">
        <v>108</v>
      </c>
      <c r="G516">
        <v>29</v>
      </c>
      <c r="H516" t="s">
        <v>5</v>
      </c>
      <c r="I516" s="13">
        <v>45808</v>
      </c>
    </row>
    <row r="517" spans="1:9" x14ac:dyDescent="0.3">
      <c r="A517" s="13">
        <v>45807</v>
      </c>
      <c r="B517">
        <v>2025</v>
      </c>
      <c r="C517">
        <v>5</v>
      </c>
      <c r="D517" t="s">
        <v>5</v>
      </c>
      <c r="E517" t="s">
        <v>59</v>
      </c>
      <c r="F517" t="s">
        <v>108</v>
      </c>
      <c r="G517">
        <v>30</v>
      </c>
      <c r="H517" t="s">
        <v>5</v>
      </c>
      <c r="I517" s="13">
        <v>45808</v>
      </c>
    </row>
    <row r="518" spans="1:9" x14ac:dyDescent="0.3">
      <c r="A518" s="13">
        <v>45808</v>
      </c>
      <c r="B518">
        <v>2025</v>
      </c>
      <c r="C518">
        <v>5</v>
      </c>
      <c r="D518" t="s">
        <v>5</v>
      </c>
      <c r="E518" t="s">
        <v>59</v>
      </c>
      <c r="F518" t="s">
        <v>108</v>
      </c>
      <c r="G518">
        <v>31</v>
      </c>
      <c r="H518" t="s">
        <v>5</v>
      </c>
      <c r="I518" s="13">
        <v>45808</v>
      </c>
    </row>
    <row r="519" spans="1:9" x14ac:dyDescent="0.3">
      <c r="A519" s="13">
        <v>45809</v>
      </c>
      <c r="B519">
        <v>2025</v>
      </c>
      <c r="C519">
        <v>6</v>
      </c>
      <c r="D519" t="s">
        <v>6</v>
      </c>
      <c r="E519" t="s">
        <v>60</v>
      </c>
      <c r="F519" t="s">
        <v>108</v>
      </c>
      <c r="G519">
        <v>1</v>
      </c>
      <c r="H519" t="s">
        <v>110</v>
      </c>
      <c r="I519" s="13">
        <v>45838</v>
      </c>
    </row>
    <row r="520" spans="1:9" x14ac:dyDescent="0.3">
      <c r="A520" s="13">
        <v>45810</v>
      </c>
      <c r="B520">
        <v>2025</v>
      </c>
      <c r="C520">
        <v>6</v>
      </c>
      <c r="D520" t="s">
        <v>6</v>
      </c>
      <c r="E520" t="s">
        <v>60</v>
      </c>
      <c r="F520" t="s">
        <v>108</v>
      </c>
      <c r="G520">
        <v>2</v>
      </c>
      <c r="H520" t="s">
        <v>110</v>
      </c>
      <c r="I520" s="13">
        <v>45838</v>
      </c>
    </row>
    <row r="521" spans="1:9" x14ac:dyDescent="0.3">
      <c r="A521" s="13">
        <v>45811</v>
      </c>
      <c r="B521">
        <v>2025</v>
      </c>
      <c r="C521">
        <v>6</v>
      </c>
      <c r="D521" t="s">
        <v>6</v>
      </c>
      <c r="E521" t="s">
        <v>60</v>
      </c>
      <c r="F521" t="s">
        <v>108</v>
      </c>
      <c r="G521">
        <v>3</v>
      </c>
      <c r="H521" t="s">
        <v>110</v>
      </c>
      <c r="I521" s="13">
        <v>45838</v>
      </c>
    </row>
    <row r="522" spans="1:9" x14ac:dyDescent="0.3">
      <c r="A522" s="13">
        <v>45812</v>
      </c>
      <c r="B522">
        <v>2025</v>
      </c>
      <c r="C522">
        <v>6</v>
      </c>
      <c r="D522" t="s">
        <v>6</v>
      </c>
      <c r="E522" t="s">
        <v>60</v>
      </c>
      <c r="F522" t="s">
        <v>108</v>
      </c>
      <c r="G522">
        <v>4</v>
      </c>
      <c r="H522" t="s">
        <v>110</v>
      </c>
      <c r="I522" s="13">
        <v>45838</v>
      </c>
    </row>
    <row r="523" spans="1:9" x14ac:dyDescent="0.3">
      <c r="A523" s="13">
        <v>45813</v>
      </c>
      <c r="B523">
        <v>2025</v>
      </c>
      <c r="C523">
        <v>6</v>
      </c>
      <c r="D523" t="s">
        <v>6</v>
      </c>
      <c r="E523" t="s">
        <v>60</v>
      </c>
      <c r="F523" t="s">
        <v>108</v>
      </c>
      <c r="G523">
        <v>5</v>
      </c>
      <c r="H523" t="s">
        <v>110</v>
      </c>
      <c r="I523" s="13">
        <v>45838</v>
      </c>
    </row>
    <row r="524" spans="1:9" x14ac:dyDescent="0.3">
      <c r="A524" s="13">
        <v>45814</v>
      </c>
      <c r="B524">
        <v>2025</v>
      </c>
      <c r="C524">
        <v>6</v>
      </c>
      <c r="D524" t="s">
        <v>6</v>
      </c>
      <c r="E524" t="s">
        <v>60</v>
      </c>
      <c r="F524" t="s">
        <v>108</v>
      </c>
      <c r="G524">
        <v>6</v>
      </c>
      <c r="H524" t="s">
        <v>110</v>
      </c>
      <c r="I524" s="13">
        <v>45838</v>
      </c>
    </row>
    <row r="525" spans="1:9" x14ac:dyDescent="0.3">
      <c r="A525" s="13">
        <v>45815</v>
      </c>
      <c r="B525">
        <v>2025</v>
      </c>
      <c r="C525">
        <v>6</v>
      </c>
      <c r="D525" t="s">
        <v>6</v>
      </c>
      <c r="E525" t="s">
        <v>60</v>
      </c>
      <c r="F525" t="s">
        <v>108</v>
      </c>
      <c r="G525">
        <v>7</v>
      </c>
      <c r="H525" t="s">
        <v>110</v>
      </c>
      <c r="I525" s="13">
        <v>45838</v>
      </c>
    </row>
    <row r="526" spans="1:9" x14ac:dyDescent="0.3">
      <c r="A526" s="13">
        <v>45816</v>
      </c>
      <c r="B526">
        <v>2025</v>
      </c>
      <c r="C526">
        <v>6</v>
      </c>
      <c r="D526" t="s">
        <v>6</v>
      </c>
      <c r="E526" t="s">
        <v>60</v>
      </c>
      <c r="F526" t="s">
        <v>108</v>
      </c>
      <c r="G526">
        <v>8</v>
      </c>
      <c r="H526" t="s">
        <v>110</v>
      </c>
      <c r="I526" s="13">
        <v>45838</v>
      </c>
    </row>
    <row r="527" spans="1:9" x14ac:dyDescent="0.3">
      <c r="A527" s="13">
        <v>45817</v>
      </c>
      <c r="B527">
        <v>2025</v>
      </c>
      <c r="C527">
        <v>6</v>
      </c>
      <c r="D527" t="s">
        <v>6</v>
      </c>
      <c r="E527" t="s">
        <v>60</v>
      </c>
      <c r="F527" t="s">
        <v>108</v>
      </c>
      <c r="G527">
        <v>9</v>
      </c>
      <c r="H527" t="s">
        <v>110</v>
      </c>
      <c r="I527" s="13">
        <v>45838</v>
      </c>
    </row>
    <row r="528" spans="1:9" x14ac:dyDescent="0.3">
      <c r="A528" s="13">
        <v>45818</v>
      </c>
      <c r="B528">
        <v>2025</v>
      </c>
      <c r="C528">
        <v>6</v>
      </c>
      <c r="D528" t="s">
        <v>6</v>
      </c>
      <c r="E528" t="s">
        <v>60</v>
      </c>
      <c r="F528" t="s">
        <v>108</v>
      </c>
      <c r="G528">
        <v>10</v>
      </c>
      <c r="H528" t="s">
        <v>110</v>
      </c>
      <c r="I528" s="13">
        <v>45838</v>
      </c>
    </row>
    <row r="529" spans="1:9" x14ac:dyDescent="0.3">
      <c r="A529" s="13">
        <v>45819</v>
      </c>
      <c r="B529">
        <v>2025</v>
      </c>
      <c r="C529">
        <v>6</v>
      </c>
      <c r="D529" t="s">
        <v>6</v>
      </c>
      <c r="E529" t="s">
        <v>60</v>
      </c>
      <c r="F529" t="s">
        <v>108</v>
      </c>
      <c r="G529">
        <v>11</v>
      </c>
      <c r="H529" t="s">
        <v>110</v>
      </c>
      <c r="I529" s="13">
        <v>45838</v>
      </c>
    </row>
    <row r="530" spans="1:9" x14ac:dyDescent="0.3">
      <c r="A530" s="13">
        <v>45820</v>
      </c>
      <c r="B530">
        <v>2025</v>
      </c>
      <c r="C530">
        <v>6</v>
      </c>
      <c r="D530" t="s">
        <v>6</v>
      </c>
      <c r="E530" t="s">
        <v>60</v>
      </c>
      <c r="F530" t="s">
        <v>108</v>
      </c>
      <c r="G530">
        <v>12</v>
      </c>
      <c r="H530" t="s">
        <v>110</v>
      </c>
      <c r="I530" s="13">
        <v>45838</v>
      </c>
    </row>
    <row r="531" spans="1:9" x14ac:dyDescent="0.3">
      <c r="A531" s="13">
        <v>45821</v>
      </c>
      <c r="B531">
        <v>2025</v>
      </c>
      <c r="C531">
        <v>6</v>
      </c>
      <c r="D531" t="s">
        <v>6</v>
      </c>
      <c r="E531" t="s">
        <v>60</v>
      </c>
      <c r="F531" t="s">
        <v>108</v>
      </c>
      <c r="G531">
        <v>13</v>
      </c>
      <c r="H531" t="s">
        <v>110</v>
      </c>
      <c r="I531" s="13">
        <v>45838</v>
      </c>
    </row>
    <row r="532" spans="1:9" x14ac:dyDescent="0.3">
      <c r="A532" s="13">
        <v>45822</v>
      </c>
      <c r="B532">
        <v>2025</v>
      </c>
      <c r="C532">
        <v>6</v>
      </c>
      <c r="D532" t="s">
        <v>6</v>
      </c>
      <c r="E532" t="s">
        <v>60</v>
      </c>
      <c r="F532" t="s">
        <v>108</v>
      </c>
      <c r="G532">
        <v>14</v>
      </c>
      <c r="H532" t="s">
        <v>110</v>
      </c>
      <c r="I532" s="13">
        <v>45838</v>
      </c>
    </row>
    <row r="533" spans="1:9" x14ac:dyDescent="0.3">
      <c r="A533" s="13">
        <v>45823</v>
      </c>
      <c r="B533">
        <v>2025</v>
      </c>
      <c r="C533">
        <v>6</v>
      </c>
      <c r="D533" t="s">
        <v>6</v>
      </c>
      <c r="E533" t="s">
        <v>60</v>
      </c>
      <c r="F533" t="s">
        <v>108</v>
      </c>
      <c r="G533">
        <v>15</v>
      </c>
      <c r="H533" t="s">
        <v>110</v>
      </c>
      <c r="I533" s="13">
        <v>45838</v>
      </c>
    </row>
    <row r="534" spans="1:9" x14ac:dyDescent="0.3">
      <c r="A534" s="13">
        <v>45824</v>
      </c>
      <c r="B534">
        <v>2025</v>
      </c>
      <c r="C534">
        <v>6</v>
      </c>
      <c r="D534" t="s">
        <v>6</v>
      </c>
      <c r="E534" t="s">
        <v>60</v>
      </c>
      <c r="F534" t="s">
        <v>108</v>
      </c>
      <c r="G534">
        <v>16</v>
      </c>
      <c r="H534" t="s">
        <v>110</v>
      </c>
      <c r="I534" s="13">
        <v>45838</v>
      </c>
    </row>
    <row r="535" spans="1:9" x14ac:dyDescent="0.3">
      <c r="A535" s="13">
        <v>45825</v>
      </c>
      <c r="B535">
        <v>2025</v>
      </c>
      <c r="C535">
        <v>6</v>
      </c>
      <c r="D535" t="s">
        <v>6</v>
      </c>
      <c r="E535" t="s">
        <v>60</v>
      </c>
      <c r="F535" t="s">
        <v>108</v>
      </c>
      <c r="G535">
        <v>17</v>
      </c>
      <c r="H535" t="s">
        <v>110</v>
      </c>
      <c r="I535" s="13">
        <v>45838</v>
      </c>
    </row>
    <row r="536" spans="1:9" x14ac:dyDescent="0.3">
      <c r="A536" s="13">
        <v>45826</v>
      </c>
      <c r="B536">
        <v>2025</v>
      </c>
      <c r="C536">
        <v>6</v>
      </c>
      <c r="D536" t="s">
        <v>6</v>
      </c>
      <c r="E536" t="s">
        <v>60</v>
      </c>
      <c r="F536" t="s">
        <v>108</v>
      </c>
      <c r="G536">
        <v>18</v>
      </c>
      <c r="H536" t="s">
        <v>110</v>
      </c>
      <c r="I536" s="13">
        <v>45838</v>
      </c>
    </row>
    <row r="537" spans="1:9" x14ac:dyDescent="0.3">
      <c r="A537" s="13">
        <v>45827</v>
      </c>
      <c r="B537">
        <v>2025</v>
      </c>
      <c r="C537">
        <v>6</v>
      </c>
      <c r="D537" t="s">
        <v>6</v>
      </c>
      <c r="E537" t="s">
        <v>60</v>
      </c>
      <c r="F537" t="s">
        <v>108</v>
      </c>
      <c r="G537">
        <v>19</v>
      </c>
      <c r="H537" t="s">
        <v>110</v>
      </c>
      <c r="I537" s="13">
        <v>45838</v>
      </c>
    </row>
    <row r="538" spans="1:9" x14ac:dyDescent="0.3">
      <c r="A538" s="13">
        <v>45828</v>
      </c>
      <c r="B538">
        <v>2025</v>
      </c>
      <c r="C538">
        <v>6</v>
      </c>
      <c r="D538" t="s">
        <v>6</v>
      </c>
      <c r="E538" t="s">
        <v>60</v>
      </c>
      <c r="F538" t="s">
        <v>108</v>
      </c>
      <c r="G538">
        <v>20</v>
      </c>
      <c r="H538" t="s">
        <v>110</v>
      </c>
      <c r="I538" s="13">
        <v>45838</v>
      </c>
    </row>
    <row r="539" spans="1:9" x14ac:dyDescent="0.3">
      <c r="A539" s="13">
        <v>45829</v>
      </c>
      <c r="B539">
        <v>2025</v>
      </c>
      <c r="C539">
        <v>6</v>
      </c>
      <c r="D539" t="s">
        <v>6</v>
      </c>
      <c r="E539" t="s">
        <v>60</v>
      </c>
      <c r="F539" t="s">
        <v>108</v>
      </c>
      <c r="G539">
        <v>21</v>
      </c>
      <c r="H539" t="s">
        <v>110</v>
      </c>
      <c r="I539" s="13">
        <v>45838</v>
      </c>
    </row>
    <row r="540" spans="1:9" x14ac:dyDescent="0.3">
      <c r="A540" s="13">
        <v>45830</v>
      </c>
      <c r="B540">
        <v>2025</v>
      </c>
      <c r="C540">
        <v>6</v>
      </c>
      <c r="D540" t="s">
        <v>6</v>
      </c>
      <c r="E540" t="s">
        <v>60</v>
      </c>
      <c r="F540" t="s">
        <v>108</v>
      </c>
      <c r="G540">
        <v>22</v>
      </c>
      <c r="H540" t="s">
        <v>110</v>
      </c>
      <c r="I540" s="13">
        <v>45838</v>
      </c>
    </row>
    <row r="541" spans="1:9" x14ac:dyDescent="0.3">
      <c r="A541" s="13">
        <v>45831</v>
      </c>
      <c r="B541">
        <v>2025</v>
      </c>
      <c r="C541">
        <v>6</v>
      </c>
      <c r="D541" t="s">
        <v>6</v>
      </c>
      <c r="E541" t="s">
        <v>60</v>
      </c>
      <c r="F541" t="s">
        <v>108</v>
      </c>
      <c r="G541">
        <v>23</v>
      </c>
      <c r="H541" t="s">
        <v>110</v>
      </c>
      <c r="I541" s="13">
        <v>45838</v>
      </c>
    </row>
    <row r="542" spans="1:9" x14ac:dyDescent="0.3">
      <c r="A542" s="13">
        <v>45832</v>
      </c>
      <c r="B542">
        <v>2025</v>
      </c>
      <c r="C542">
        <v>6</v>
      </c>
      <c r="D542" t="s">
        <v>6</v>
      </c>
      <c r="E542" t="s">
        <v>60</v>
      </c>
      <c r="F542" t="s">
        <v>108</v>
      </c>
      <c r="G542">
        <v>24</v>
      </c>
      <c r="H542" t="s">
        <v>110</v>
      </c>
      <c r="I542" s="13">
        <v>45838</v>
      </c>
    </row>
    <row r="543" spans="1:9" x14ac:dyDescent="0.3">
      <c r="A543" s="13">
        <v>45833</v>
      </c>
      <c r="B543">
        <v>2025</v>
      </c>
      <c r="C543">
        <v>6</v>
      </c>
      <c r="D543" t="s">
        <v>6</v>
      </c>
      <c r="E543" t="s">
        <v>60</v>
      </c>
      <c r="F543" t="s">
        <v>108</v>
      </c>
      <c r="G543">
        <v>25</v>
      </c>
      <c r="H543" t="s">
        <v>110</v>
      </c>
      <c r="I543" s="13">
        <v>45838</v>
      </c>
    </row>
    <row r="544" spans="1:9" x14ac:dyDescent="0.3">
      <c r="A544" s="13">
        <v>45834</v>
      </c>
      <c r="B544">
        <v>2025</v>
      </c>
      <c r="C544">
        <v>6</v>
      </c>
      <c r="D544" t="s">
        <v>6</v>
      </c>
      <c r="E544" t="s">
        <v>60</v>
      </c>
      <c r="F544" t="s">
        <v>108</v>
      </c>
      <c r="G544">
        <v>26</v>
      </c>
      <c r="H544" t="s">
        <v>110</v>
      </c>
      <c r="I544" s="13">
        <v>45838</v>
      </c>
    </row>
    <row r="545" spans="1:9" x14ac:dyDescent="0.3">
      <c r="A545" s="13">
        <v>45835</v>
      </c>
      <c r="B545">
        <v>2025</v>
      </c>
      <c r="C545">
        <v>6</v>
      </c>
      <c r="D545" t="s">
        <v>6</v>
      </c>
      <c r="E545" t="s">
        <v>60</v>
      </c>
      <c r="F545" t="s">
        <v>108</v>
      </c>
      <c r="G545">
        <v>27</v>
      </c>
      <c r="H545" t="s">
        <v>110</v>
      </c>
      <c r="I545" s="13">
        <v>45838</v>
      </c>
    </row>
    <row r="546" spans="1:9" x14ac:dyDescent="0.3">
      <c r="A546" s="13">
        <v>45836</v>
      </c>
      <c r="B546">
        <v>2025</v>
      </c>
      <c r="C546">
        <v>6</v>
      </c>
      <c r="D546" t="s">
        <v>6</v>
      </c>
      <c r="E546" t="s">
        <v>60</v>
      </c>
      <c r="F546" t="s">
        <v>108</v>
      </c>
      <c r="G546">
        <v>28</v>
      </c>
      <c r="H546" t="s">
        <v>110</v>
      </c>
      <c r="I546" s="13">
        <v>45838</v>
      </c>
    </row>
    <row r="547" spans="1:9" x14ac:dyDescent="0.3">
      <c r="A547" s="13">
        <v>45837</v>
      </c>
      <c r="B547">
        <v>2025</v>
      </c>
      <c r="C547">
        <v>6</v>
      </c>
      <c r="D547" t="s">
        <v>6</v>
      </c>
      <c r="E547" t="s">
        <v>60</v>
      </c>
      <c r="F547" t="s">
        <v>108</v>
      </c>
      <c r="G547">
        <v>29</v>
      </c>
      <c r="H547" t="s">
        <v>110</v>
      </c>
      <c r="I547" s="13">
        <v>45838</v>
      </c>
    </row>
    <row r="548" spans="1:9" x14ac:dyDescent="0.3">
      <c r="A548" s="13">
        <v>45838</v>
      </c>
      <c r="B548">
        <v>2025</v>
      </c>
      <c r="C548">
        <v>6</v>
      </c>
      <c r="D548" t="s">
        <v>6</v>
      </c>
      <c r="E548" t="s">
        <v>60</v>
      </c>
      <c r="F548" t="s">
        <v>108</v>
      </c>
      <c r="G548">
        <v>30</v>
      </c>
      <c r="H548" t="s">
        <v>110</v>
      </c>
      <c r="I548" s="13">
        <v>45838</v>
      </c>
    </row>
    <row r="549" spans="1:9" x14ac:dyDescent="0.3">
      <c r="A549" s="13">
        <v>45839</v>
      </c>
      <c r="B549">
        <v>2025</v>
      </c>
      <c r="C549">
        <v>7</v>
      </c>
      <c r="D549" t="s">
        <v>7</v>
      </c>
      <c r="E549" t="s">
        <v>61</v>
      </c>
      <c r="F549" t="s">
        <v>111</v>
      </c>
      <c r="G549">
        <v>1</v>
      </c>
      <c r="H549" t="s">
        <v>112</v>
      </c>
      <c r="I549" s="13">
        <v>45869</v>
      </c>
    </row>
    <row r="550" spans="1:9" x14ac:dyDescent="0.3">
      <c r="A550" s="13">
        <v>45840</v>
      </c>
      <c r="B550">
        <v>2025</v>
      </c>
      <c r="C550">
        <v>7</v>
      </c>
      <c r="D550" t="s">
        <v>7</v>
      </c>
      <c r="E550" t="s">
        <v>61</v>
      </c>
      <c r="F550" t="s">
        <v>111</v>
      </c>
      <c r="G550">
        <v>2</v>
      </c>
      <c r="H550" t="s">
        <v>112</v>
      </c>
      <c r="I550" s="13">
        <v>45869</v>
      </c>
    </row>
    <row r="551" spans="1:9" x14ac:dyDescent="0.3">
      <c r="A551" s="13">
        <v>45841</v>
      </c>
      <c r="B551">
        <v>2025</v>
      </c>
      <c r="C551">
        <v>7</v>
      </c>
      <c r="D551" t="s">
        <v>7</v>
      </c>
      <c r="E551" t="s">
        <v>61</v>
      </c>
      <c r="F551" t="s">
        <v>111</v>
      </c>
      <c r="G551">
        <v>3</v>
      </c>
      <c r="H551" t="s">
        <v>112</v>
      </c>
      <c r="I551" s="13">
        <v>45869</v>
      </c>
    </row>
    <row r="552" spans="1:9" x14ac:dyDescent="0.3">
      <c r="A552" s="13">
        <v>45842</v>
      </c>
      <c r="B552">
        <v>2025</v>
      </c>
      <c r="C552">
        <v>7</v>
      </c>
      <c r="D552" t="s">
        <v>7</v>
      </c>
      <c r="E552" t="s">
        <v>61</v>
      </c>
      <c r="F552" t="s">
        <v>111</v>
      </c>
      <c r="G552">
        <v>4</v>
      </c>
      <c r="H552" t="s">
        <v>112</v>
      </c>
      <c r="I552" s="13">
        <v>45869</v>
      </c>
    </row>
    <row r="553" spans="1:9" x14ac:dyDescent="0.3">
      <c r="A553" s="13">
        <v>45843</v>
      </c>
      <c r="B553">
        <v>2025</v>
      </c>
      <c r="C553">
        <v>7</v>
      </c>
      <c r="D553" t="s">
        <v>7</v>
      </c>
      <c r="E553" t="s">
        <v>61</v>
      </c>
      <c r="F553" t="s">
        <v>111</v>
      </c>
      <c r="G553">
        <v>5</v>
      </c>
      <c r="H553" t="s">
        <v>112</v>
      </c>
      <c r="I553" s="13">
        <v>45869</v>
      </c>
    </row>
    <row r="554" spans="1:9" x14ac:dyDescent="0.3">
      <c r="A554" s="13">
        <v>45844</v>
      </c>
      <c r="B554">
        <v>2025</v>
      </c>
      <c r="C554">
        <v>7</v>
      </c>
      <c r="D554" t="s">
        <v>7</v>
      </c>
      <c r="E554" t="s">
        <v>61</v>
      </c>
      <c r="F554" t="s">
        <v>111</v>
      </c>
      <c r="G554">
        <v>6</v>
      </c>
      <c r="H554" t="s">
        <v>112</v>
      </c>
      <c r="I554" s="13">
        <v>45869</v>
      </c>
    </row>
    <row r="555" spans="1:9" x14ac:dyDescent="0.3">
      <c r="A555" s="13">
        <v>45845</v>
      </c>
      <c r="B555">
        <v>2025</v>
      </c>
      <c r="C555">
        <v>7</v>
      </c>
      <c r="D555" t="s">
        <v>7</v>
      </c>
      <c r="E555" t="s">
        <v>61</v>
      </c>
      <c r="F555" t="s">
        <v>111</v>
      </c>
      <c r="G555">
        <v>7</v>
      </c>
      <c r="H555" t="s">
        <v>112</v>
      </c>
      <c r="I555" s="13">
        <v>45869</v>
      </c>
    </row>
    <row r="556" spans="1:9" x14ac:dyDescent="0.3">
      <c r="A556" s="13">
        <v>45846</v>
      </c>
      <c r="B556">
        <v>2025</v>
      </c>
      <c r="C556">
        <v>7</v>
      </c>
      <c r="D556" t="s">
        <v>7</v>
      </c>
      <c r="E556" t="s">
        <v>61</v>
      </c>
      <c r="F556" t="s">
        <v>111</v>
      </c>
      <c r="G556">
        <v>8</v>
      </c>
      <c r="H556" t="s">
        <v>112</v>
      </c>
      <c r="I556" s="13">
        <v>45869</v>
      </c>
    </row>
    <row r="557" spans="1:9" x14ac:dyDescent="0.3">
      <c r="A557" s="13">
        <v>45847</v>
      </c>
      <c r="B557">
        <v>2025</v>
      </c>
      <c r="C557">
        <v>7</v>
      </c>
      <c r="D557" t="s">
        <v>7</v>
      </c>
      <c r="E557" t="s">
        <v>61</v>
      </c>
      <c r="F557" t="s">
        <v>111</v>
      </c>
      <c r="G557">
        <v>9</v>
      </c>
      <c r="H557" t="s">
        <v>112</v>
      </c>
      <c r="I557" s="13">
        <v>45869</v>
      </c>
    </row>
    <row r="558" spans="1:9" x14ac:dyDescent="0.3">
      <c r="A558" s="13">
        <v>45848</v>
      </c>
      <c r="B558">
        <v>2025</v>
      </c>
      <c r="C558">
        <v>7</v>
      </c>
      <c r="D558" t="s">
        <v>7</v>
      </c>
      <c r="E558" t="s">
        <v>61</v>
      </c>
      <c r="F558" t="s">
        <v>111</v>
      </c>
      <c r="G558">
        <v>10</v>
      </c>
      <c r="H558" t="s">
        <v>112</v>
      </c>
      <c r="I558" s="13">
        <v>45869</v>
      </c>
    </row>
    <row r="559" spans="1:9" x14ac:dyDescent="0.3">
      <c r="A559" s="13">
        <v>45849</v>
      </c>
      <c r="B559">
        <v>2025</v>
      </c>
      <c r="C559">
        <v>7</v>
      </c>
      <c r="D559" t="s">
        <v>7</v>
      </c>
      <c r="E559" t="s">
        <v>61</v>
      </c>
      <c r="F559" t="s">
        <v>111</v>
      </c>
      <c r="G559">
        <v>11</v>
      </c>
      <c r="H559" t="s">
        <v>112</v>
      </c>
      <c r="I559" s="13">
        <v>45869</v>
      </c>
    </row>
    <row r="560" spans="1:9" x14ac:dyDescent="0.3">
      <c r="A560" s="13">
        <v>45850</v>
      </c>
      <c r="B560">
        <v>2025</v>
      </c>
      <c r="C560">
        <v>7</v>
      </c>
      <c r="D560" t="s">
        <v>7</v>
      </c>
      <c r="E560" t="s">
        <v>61</v>
      </c>
      <c r="F560" t="s">
        <v>111</v>
      </c>
      <c r="G560">
        <v>12</v>
      </c>
      <c r="H560" t="s">
        <v>112</v>
      </c>
      <c r="I560" s="13">
        <v>45869</v>
      </c>
    </row>
    <row r="561" spans="1:9" x14ac:dyDescent="0.3">
      <c r="A561" s="13">
        <v>45851</v>
      </c>
      <c r="B561">
        <v>2025</v>
      </c>
      <c r="C561">
        <v>7</v>
      </c>
      <c r="D561" t="s">
        <v>7</v>
      </c>
      <c r="E561" t="s">
        <v>61</v>
      </c>
      <c r="F561" t="s">
        <v>111</v>
      </c>
      <c r="G561">
        <v>13</v>
      </c>
      <c r="H561" t="s">
        <v>112</v>
      </c>
      <c r="I561" s="13">
        <v>45869</v>
      </c>
    </row>
    <row r="562" spans="1:9" x14ac:dyDescent="0.3">
      <c r="A562" s="13">
        <v>45852</v>
      </c>
      <c r="B562">
        <v>2025</v>
      </c>
      <c r="C562">
        <v>7</v>
      </c>
      <c r="D562" t="s">
        <v>7</v>
      </c>
      <c r="E562" t="s">
        <v>61</v>
      </c>
      <c r="F562" t="s">
        <v>111</v>
      </c>
      <c r="G562">
        <v>14</v>
      </c>
      <c r="H562" t="s">
        <v>112</v>
      </c>
      <c r="I562" s="13">
        <v>45869</v>
      </c>
    </row>
    <row r="563" spans="1:9" x14ac:dyDescent="0.3">
      <c r="A563" s="13">
        <v>45853</v>
      </c>
      <c r="B563">
        <v>2025</v>
      </c>
      <c r="C563">
        <v>7</v>
      </c>
      <c r="D563" t="s">
        <v>7</v>
      </c>
      <c r="E563" t="s">
        <v>61</v>
      </c>
      <c r="F563" t="s">
        <v>111</v>
      </c>
      <c r="G563">
        <v>15</v>
      </c>
      <c r="H563" t="s">
        <v>112</v>
      </c>
      <c r="I563" s="13">
        <v>45869</v>
      </c>
    </row>
    <row r="564" spans="1:9" x14ac:dyDescent="0.3">
      <c r="A564" s="13">
        <v>45854</v>
      </c>
      <c r="B564">
        <v>2025</v>
      </c>
      <c r="C564">
        <v>7</v>
      </c>
      <c r="D564" t="s">
        <v>7</v>
      </c>
      <c r="E564" t="s">
        <v>61</v>
      </c>
      <c r="F564" t="s">
        <v>111</v>
      </c>
      <c r="G564">
        <v>16</v>
      </c>
      <c r="H564" t="s">
        <v>112</v>
      </c>
      <c r="I564" s="13">
        <v>45869</v>
      </c>
    </row>
    <row r="565" spans="1:9" x14ac:dyDescent="0.3">
      <c r="A565" s="13">
        <v>45855</v>
      </c>
      <c r="B565">
        <v>2025</v>
      </c>
      <c r="C565">
        <v>7</v>
      </c>
      <c r="D565" t="s">
        <v>7</v>
      </c>
      <c r="E565" t="s">
        <v>61</v>
      </c>
      <c r="F565" t="s">
        <v>111</v>
      </c>
      <c r="G565">
        <v>17</v>
      </c>
      <c r="H565" t="s">
        <v>112</v>
      </c>
      <c r="I565" s="13">
        <v>45869</v>
      </c>
    </row>
    <row r="566" spans="1:9" x14ac:dyDescent="0.3">
      <c r="A566" s="13">
        <v>45856</v>
      </c>
      <c r="B566">
        <v>2025</v>
      </c>
      <c r="C566">
        <v>7</v>
      </c>
      <c r="D566" t="s">
        <v>7</v>
      </c>
      <c r="E566" t="s">
        <v>61</v>
      </c>
      <c r="F566" t="s">
        <v>111</v>
      </c>
      <c r="G566">
        <v>18</v>
      </c>
      <c r="H566" t="s">
        <v>112</v>
      </c>
      <c r="I566" s="13">
        <v>45869</v>
      </c>
    </row>
    <row r="567" spans="1:9" x14ac:dyDescent="0.3">
      <c r="A567" s="13">
        <v>45857</v>
      </c>
      <c r="B567">
        <v>2025</v>
      </c>
      <c r="C567">
        <v>7</v>
      </c>
      <c r="D567" t="s">
        <v>7</v>
      </c>
      <c r="E567" t="s">
        <v>61</v>
      </c>
      <c r="F567" t="s">
        <v>111</v>
      </c>
      <c r="G567">
        <v>19</v>
      </c>
      <c r="H567" t="s">
        <v>112</v>
      </c>
      <c r="I567" s="13">
        <v>45869</v>
      </c>
    </row>
    <row r="568" spans="1:9" x14ac:dyDescent="0.3">
      <c r="A568" s="13">
        <v>45858</v>
      </c>
      <c r="B568">
        <v>2025</v>
      </c>
      <c r="C568">
        <v>7</v>
      </c>
      <c r="D568" t="s">
        <v>7</v>
      </c>
      <c r="E568" t="s">
        <v>61</v>
      </c>
      <c r="F568" t="s">
        <v>111</v>
      </c>
      <c r="G568">
        <v>20</v>
      </c>
      <c r="H568" t="s">
        <v>112</v>
      </c>
      <c r="I568" s="13">
        <v>45869</v>
      </c>
    </row>
    <row r="569" spans="1:9" x14ac:dyDescent="0.3">
      <c r="A569" s="13">
        <v>45859</v>
      </c>
      <c r="B569">
        <v>2025</v>
      </c>
      <c r="C569">
        <v>7</v>
      </c>
      <c r="D569" t="s">
        <v>7</v>
      </c>
      <c r="E569" t="s">
        <v>61</v>
      </c>
      <c r="F569" t="s">
        <v>111</v>
      </c>
      <c r="G569">
        <v>21</v>
      </c>
      <c r="H569" t="s">
        <v>112</v>
      </c>
      <c r="I569" s="13">
        <v>45869</v>
      </c>
    </row>
    <row r="570" spans="1:9" x14ac:dyDescent="0.3">
      <c r="A570" s="13">
        <v>45860</v>
      </c>
      <c r="B570">
        <v>2025</v>
      </c>
      <c r="C570">
        <v>7</v>
      </c>
      <c r="D570" t="s">
        <v>7</v>
      </c>
      <c r="E570" t="s">
        <v>61</v>
      </c>
      <c r="F570" t="s">
        <v>111</v>
      </c>
      <c r="G570">
        <v>22</v>
      </c>
      <c r="H570" t="s">
        <v>112</v>
      </c>
      <c r="I570" s="13">
        <v>45869</v>
      </c>
    </row>
    <row r="571" spans="1:9" x14ac:dyDescent="0.3">
      <c r="A571" s="13">
        <v>45861</v>
      </c>
      <c r="B571">
        <v>2025</v>
      </c>
      <c r="C571">
        <v>7</v>
      </c>
      <c r="D571" t="s">
        <v>7</v>
      </c>
      <c r="E571" t="s">
        <v>61</v>
      </c>
      <c r="F571" t="s">
        <v>111</v>
      </c>
      <c r="G571">
        <v>23</v>
      </c>
      <c r="H571" t="s">
        <v>112</v>
      </c>
      <c r="I571" s="13">
        <v>45869</v>
      </c>
    </row>
    <row r="572" spans="1:9" x14ac:dyDescent="0.3">
      <c r="A572" s="13">
        <v>45862</v>
      </c>
      <c r="B572">
        <v>2025</v>
      </c>
      <c r="C572">
        <v>7</v>
      </c>
      <c r="D572" t="s">
        <v>7</v>
      </c>
      <c r="E572" t="s">
        <v>61</v>
      </c>
      <c r="F572" t="s">
        <v>111</v>
      </c>
      <c r="G572">
        <v>24</v>
      </c>
      <c r="H572" t="s">
        <v>112</v>
      </c>
      <c r="I572" s="13">
        <v>45869</v>
      </c>
    </row>
    <row r="573" spans="1:9" x14ac:dyDescent="0.3">
      <c r="A573" s="13">
        <v>45863</v>
      </c>
      <c r="B573">
        <v>2025</v>
      </c>
      <c r="C573">
        <v>7</v>
      </c>
      <c r="D573" t="s">
        <v>7</v>
      </c>
      <c r="E573" t="s">
        <v>61</v>
      </c>
      <c r="F573" t="s">
        <v>111</v>
      </c>
      <c r="G573">
        <v>25</v>
      </c>
      <c r="H573" t="s">
        <v>112</v>
      </c>
      <c r="I573" s="13">
        <v>45869</v>
      </c>
    </row>
    <row r="574" spans="1:9" x14ac:dyDescent="0.3">
      <c r="A574" s="13">
        <v>45864</v>
      </c>
      <c r="B574">
        <v>2025</v>
      </c>
      <c r="C574">
        <v>7</v>
      </c>
      <c r="D574" t="s">
        <v>7</v>
      </c>
      <c r="E574" t="s">
        <v>61</v>
      </c>
      <c r="F574" t="s">
        <v>111</v>
      </c>
      <c r="G574">
        <v>26</v>
      </c>
      <c r="H574" t="s">
        <v>112</v>
      </c>
      <c r="I574" s="13">
        <v>45869</v>
      </c>
    </row>
    <row r="575" spans="1:9" x14ac:dyDescent="0.3">
      <c r="A575" s="13">
        <v>45865</v>
      </c>
      <c r="B575">
        <v>2025</v>
      </c>
      <c r="C575">
        <v>7</v>
      </c>
      <c r="D575" t="s">
        <v>7</v>
      </c>
      <c r="E575" t="s">
        <v>61</v>
      </c>
      <c r="F575" t="s">
        <v>111</v>
      </c>
      <c r="G575">
        <v>27</v>
      </c>
      <c r="H575" t="s">
        <v>112</v>
      </c>
      <c r="I575" s="13">
        <v>45869</v>
      </c>
    </row>
    <row r="576" spans="1:9" x14ac:dyDescent="0.3">
      <c r="A576" s="13">
        <v>45866</v>
      </c>
      <c r="B576">
        <v>2025</v>
      </c>
      <c r="C576">
        <v>7</v>
      </c>
      <c r="D576" t="s">
        <v>7</v>
      </c>
      <c r="E576" t="s">
        <v>61</v>
      </c>
      <c r="F576" t="s">
        <v>111</v>
      </c>
      <c r="G576">
        <v>28</v>
      </c>
      <c r="H576" t="s">
        <v>112</v>
      </c>
      <c r="I576" s="13">
        <v>45869</v>
      </c>
    </row>
    <row r="577" spans="1:9" x14ac:dyDescent="0.3">
      <c r="A577" s="13">
        <v>45867</v>
      </c>
      <c r="B577">
        <v>2025</v>
      </c>
      <c r="C577">
        <v>7</v>
      </c>
      <c r="D577" t="s">
        <v>7</v>
      </c>
      <c r="E577" t="s">
        <v>61</v>
      </c>
      <c r="F577" t="s">
        <v>111</v>
      </c>
      <c r="G577">
        <v>29</v>
      </c>
      <c r="H577" t="s">
        <v>112</v>
      </c>
      <c r="I577" s="13">
        <v>45869</v>
      </c>
    </row>
    <row r="578" spans="1:9" x14ac:dyDescent="0.3">
      <c r="A578" s="13">
        <v>45868</v>
      </c>
      <c r="B578">
        <v>2025</v>
      </c>
      <c r="C578">
        <v>7</v>
      </c>
      <c r="D578" t="s">
        <v>7</v>
      </c>
      <c r="E578" t="s">
        <v>61</v>
      </c>
      <c r="F578" t="s">
        <v>111</v>
      </c>
      <c r="G578">
        <v>30</v>
      </c>
      <c r="H578" t="s">
        <v>112</v>
      </c>
      <c r="I578" s="13">
        <v>45869</v>
      </c>
    </row>
    <row r="579" spans="1:9" x14ac:dyDescent="0.3">
      <c r="A579" s="13">
        <v>45869</v>
      </c>
      <c r="B579">
        <v>2025</v>
      </c>
      <c r="C579">
        <v>7</v>
      </c>
      <c r="D579" t="s">
        <v>7</v>
      </c>
      <c r="E579" t="s">
        <v>61</v>
      </c>
      <c r="F579" t="s">
        <v>111</v>
      </c>
      <c r="G579">
        <v>31</v>
      </c>
      <c r="H579" t="s">
        <v>112</v>
      </c>
      <c r="I579" s="13">
        <v>45869</v>
      </c>
    </row>
    <row r="580" spans="1:9" x14ac:dyDescent="0.3">
      <c r="A580" s="13">
        <v>45870</v>
      </c>
      <c r="B580">
        <v>2025</v>
      </c>
      <c r="C580">
        <v>8</v>
      </c>
      <c r="D580" t="s">
        <v>8</v>
      </c>
      <c r="E580" t="s">
        <v>62</v>
      </c>
      <c r="F580" t="s">
        <v>111</v>
      </c>
      <c r="G580">
        <v>1</v>
      </c>
      <c r="H580" t="s">
        <v>113</v>
      </c>
      <c r="I580" s="13">
        <v>45900</v>
      </c>
    </row>
    <row r="581" spans="1:9" x14ac:dyDescent="0.3">
      <c r="A581" s="13">
        <v>45871</v>
      </c>
      <c r="B581">
        <v>2025</v>
      </c>
      <c r="C581">
        <v>8</v>
      </c>
      <c r="D581" t="s">
        <v>8</v>
      </c>
      <c r="E581" t="s">
        <v>62</v>
      </c>
      <c r="F581" t="s">
        <v>111</v>
      </c>
      <c r="G581">
        <v>2</v>
      </c>
      <c r="H581" t="s">
        <v>113</v>
      </c>
      <c r="I581" s="13">
        <v>45900</v>
      </c>
    </row>
    <row r="582" spans="1:9" x14ac:dyDescent="0.3">
      <c r="A582" s="13">
        <v>45872</v>
      </c>
      <c r="B582">
        <v>2025</v>
      </c>
      <c r="C582">
        <v>8</v>
      </c>
      <c r="D582" t="s">
        <v>8</v>
      </c>
      <c r="E582" t="s">
        <v>62</v>
      </c>
      <c r="F582" t="s">
        <v>111</v>
      </c>
      <c r="G582">
        <v>3</v>
      </c>
      <c r="H582" t="s">
        <v>113</v>
      </c>
      <c r="I582" s="13">
        <v>45900</v>
      </c>
    </row>
    <row r="583" spans="1:9" x14ac:dyDescent="0.3">
      <c r="A583" s="13">
        <v>45873</v>
      </c>
      <c r="B583">
        <v>2025</v>
      </c>
      <c r="C583">
        <v>8</v>
      </c>
      <c r="D583" t="s">
        <v>8</v>
      </c>
      <c r="E583" t="s">
        <v>62</v>
      </c>
      <c r="F583" t="s">
        <v>111</v>
      </c>
      <c r="G583">
        <v>4</v>
      </c>
      <c r="H583" t="s">
        <v>113</v>
      </c>
      <c r="I583" s="13">
        <v>45900</v>
      </c>
    </row>
    <row r="584" spans="1:9" x14ac:dyDescent="0.3">
      <c r="A584" s="13">
        <v>45874</v>
      </c>
      <c r="B584">
        <v>2025</v>
      </c>
      <c r="C584">
        <v>8</v>
      </c>
      <c r="D584" t="s">
        <v>8</v>
      </c>
      <c r="E584" t="s">
        <v>62</v>
      </c>
      <c r="F584" t="s">
        <v>111</v>
      </c>
      <c r="G584">
        <v>5</v>
      </c>
      <c r="H584" t="s">
        <v>113</v>
      </c>
      <c r="I584" s="13">
        <v>45900</v>
      </c>
    </row>
    <row r="585" spans="1:9" x14ac:dyDescent="0.3">
      <c r="A585" s="13">
        <v>45875</v>
      </c>
      <c r="B585">
        <v>2025</v>
      </c>
      <c r="C585">
        <v>8</v>
      </c>
      <c r="D585" t="s">
        <v>8</v>
      </c>
      <c r="E585" t="s">
        <v>62</v>
      </c>
      <c r="F585" t="s">
        <v>111</v>
      </c>
      <c r="G585">
        <v>6</v>
      </c>
      <c r="H585" t="s">
        <v>113</v>
      </c>
      <c r="I585" s="13">
        <v>45900</v>
      </c>
    </row>
    <row r="586" spans="1:9" x14ac:dyDescent="0.3">
      <c r="A586" s="13">
        <v>45876</v>
      </c>
      <c r="B586">
        <v>2025</v>
      </c>
      <c r="C586">
        <v>8</v>
      </c>
      <c r="D586" t="s">
        <v>8</v>
      </c>
      <c r="E586" t="s">
        <v>62</v>
      </c>
      <c r="F586" t="s">
        <v>111</v>
      </c>
      <c r="G586">
        <v>7</v>
      </c>
      <c r="H586" t="s">
        <v>113</v>
      </c>
      <c r="I586" s="13">
        <v>45900</v>
      </c>
    </row>
    <row r="587" spans="1:9" x14ac:dyDescent="0.3">
      <c r="A587" s="13">
        <v>45877</v>
      </c>
      <c r="B587">
        <v>2025</v>
      </c>
      <c r="C587">
        <v>8</v>
      </c>
      <c r="D587" t="s">
        <v>8</v>
      </c>
      <c r="E587" t="s">
        <v>62</v>
      </c>
      <c r="F587" t="s">
        <v>111</v>
      </c>
      <c r="G587">
        <v>8</v>
      </c>
      <c r="H587" t="s">
        <v>113</v>
      </c>
      <c r="I587" s="13">
        <v>45900</v>
      </c>
    </row>
    <row r="588" spans="1:9" x14ac:dyDescent="0.3">
      <c r="A588" s="13">
        <v>45878</v>
      </c>
      <c r="B588">
        <v>2025</v>
      </c>
      <c r="C588">
        <v>8</v>
      </c>
      <c r="D588" t="s">
        <v>8</v>
      </c>
      <c r="E588" t="s">
        <v>62</v>
      </c>
      <c r="F588" t="s">
        <v>111</v>
      </c>
      <c r="G588">
        <v>9</v>
      </c>
      <c r="H588" t="s">
        <v>113</v>
      </c>
      <c r="I588" s="13">
        <v>45900</v>
      </c>
    </row>
    <row r="589" spans="1:9" x14ac:dyDescent="0.3">
      <c r="A589" s="13">
        <v>45879</v>
      </c>
      <c r="B589">
        <v>2025</v>
      </c>
      <c r="C589">
        <v>8</v>
      </c>
      <c r="D589" t="s">
        <v>8</v>
      </c>
      <c r="E589" t="s">
        <v>62</v>
      </c>
      <c r="F589" t="s">
        <v>111</v>
      </c>
      <c r="G589">
        <v>10</v>
      </c>
      <c r="H589" t="s">
        <v>113</v>
      </c>
      <c r="I589" s="13">
        <v>45900</v>
      </c>
    </row>
    <row r="590" spans="1:9" x14ac:dyDescent="0.3">
      <c r="A590" s="13">
        <v>45880</v>
      </c>
      <c r="B590">
        <v>2025</v>
      </c>
      <c r="C590">
        <v>8</v>
      </c>
      <c r="D590" t="s">
        <v>8</v>
      </c>
      <c r="E590" t="s">
        <v>62</v>
      </c>
      <c r="F590" t="s">
        <v>111</v>
      </c>
      <c r="G590">
        <v>11</v>
      </c>
      <c r="H590" t="s">
        <v>113</v>
      </c>
      <c r="I590" s="13">
        <v>45900</v>
      </c>
    </row>
    <row r="591" spans="1:9" x14ac:dyDescent="0.3">
      <c r="A591" s="13">
        <v>45881</v>
      </c>
      <c r="B591">
        <v>2025</v>
      </c>
      <c r="C591">
        <v>8</v>
      </c>
      <c r="D591" t="s">
        <v>8</v>
      </c>
      <c r="E591" t="s">
        <v>62</v>
      </c>
      <c r="F591" t="s">
        <v>111</v>
      </c>
      <c r="G591">
        <v>12</v>
      </c>
      <c r="H591" t="s">
        <v>113</v>
      </c>
      <c r="I591" s="13">
        <v>45900</v>
      </c>
    </row>
    <row r="592" spans="1:9" x14ac:dyDescent="0.3">
      <c r="A592" s="13">
        <v>45882</v>
      </c>
      <c r="B592">
        <v>2025</v>
      </c>
      <c r="C592">
        <v>8</v>
      </c>
      <c r="D592" t="s">
        <v>8</v>
      </c>
      <c r="E592" t="s">
        <v>62</v>
      </c>
      <c r="F592" t="s">
        <v>111</v>
      </c>
      <c r="G592">
        <v>13</v>
      </c>
      <c r="H592" t="s">
        <v>113</v>
      </c>
      <c r="I592" s="13">
        <v>45900</v>
      </c>
    </row>
    <row r="593" spans="1:9" x14ac:dyDescent="0.3">
      <c r="A593" s="13">
        <v>45883</v>
      </c>
      <c r="B593">
        <v>2025</v>
      </c>
      <c r="C593">
        <v>8</v>
      </c>
      <c r="D593" t="s">
        <v>8</v>
      </c>
      <c r="E593" t="s">
        <v>62</v>
      </c>
      <c r="F593" t="s">
        <v>111</v>
      </c>
      <c r="G593">
        <v>14</v>
      </c>
      <c r="H593" t="s">
        <v>113</v>
      </c>
      <c r="I593" s="13">
        <v>45900</v>
      </c>
    </row>
    <row r="594" spans="1:9" x14ac:dyDescent="0.3">
      <c r="A594" s="13">
        <v>45884</v>
      </c>
      <c r="B594">
        <v>2025</v>
      </c>
      <c r="C594">
        <v>8</v>
      </c>
      <c r="D594" t="s">
        <v>8</v>
      </c>
      <c r="E594" t="s">
        <v>62</v>
      </c>
      <c r="F594" t="s">
        <v>111</v>
      </c>
      <c r="G594">
        <v>15</v>
      </c>
      <c r="H594" t="s">
        <v>113</v>
      </c>
      <c r="I594" s="13">
        <v>45900</v>
      </c>
    </row>
    <row r="595" spans="1:9" x14ac:dyDescent="0.3">
      <c r="A595" s="13">
        <v>45885</v>
      </c>
      <c r="B595">
        <v>2025</v>
      </c>
      <c r="C595">
        <v>8</v>
      </c>
      <c r="D595" t="s">
        <v>8</v>
      </c>
      <c r="E595" t="s">
        <v>62</v>
      </c>
      <c r="F595" t="s">
        <v>111</v>
      </c>
      <c r="G595">
        <v>16</v>
      </c>
      <c r="H595" t="s">
        <v>113</v>
      </c>
      <c r="I595" s="13">
        <v>45900</v>
      </c>
    </row>
    <row r="596" spans="1:9" x14ac:dyDescent="0.3">
      <c r="A596" s="13">
        <v>45886</v>
      </c>
      <c r="B596">
        <v>2025</v>
      </c>
      <c r="C596">
        <v>8</v>
      </c>
      <c r="D596" t="s">
        <v>8</v>
      </c>
      <c r="E596" t="s">
        <v>62</v>
      </c>
      <c r="F596" t="s">
        <v>111</v>
      </c>
      <c r="G596">
        <v>17</v>
      </c>
      <c r="H596" t="s">
        <v>113</v>
      </c>
      <c r="I596" s="13">
        <v>45900</v>
      </c>
    </row>
    <row r="597" spans="1:9" x14ac:dyDescent="0.3">
      <c r="A597" s="13">
        <v>45887</v>
      </c>
      <c r="B597">
        <v>2025</v>
      </c>
      <c r="C597">
        <v>8</v>
      </c>
      <c r="D597" t="s">
        <v>8</v>
      </c>
      <c r="E597" t="s">
        <v>62</v>
      </c>
      <c r="F597" t="s">
        <v>111</v>
      </c>
      <c r="G597">
        <v>18</v>
      </c>
      <c r="H597" t="s">
        <v>113</v>
      </c>
      <c r="I597" s="13">
        <v>45900</v>
      </c>
    </row>
    <row r="598" spans="1:9" x14ac:dyDescent="0.3">
      <c r="A598" s="13">
        <v>45888</v>
      </c>
      <c r="B598">
        <v>2025</v>
      </c>
      <c r="C598">
        <v>8</v>
      </c>
      <c r="D598" t="s">
        <v>8</v>
      </c>
      <c r="E598" t="s">
        <v>62</v>
      </c>
      <c r="F598" t="s">
        <v>111</v>
      </c>
      <c r="G598">
        <v>19</v>
      </c>
      <c r="H598" t="s">
        <v>113</v>
      </c>
      <c r="I598" s="13">
        <v>45900</v>
      </c>
    </row>
    <row r="599" spans="1:9" x14ac:dyDescent="0.3">
      <c r="A599" s="13">
        <v>45889</v>
      </c>
      <c r="B599">
        <v>2025</v>
      </c>
      <c r="C599">
        <v>8</v>
      </c>
      <c r="D599" t="s">
        <v>8</v>
      </c>
      <c r="E599" t="s">
        <v>62</v>
      </c>
      <c r="F599" t="s">
        <v>111</v>
      </c>
      <c r="G599">
        <v>20</v>
      </c>
      <c r="H599" t="s">
        <v>113</v>
      </c>
      <c r="I599" s="13">
        <v>45900</v>
      </c>
    </row>
    <row r="600" spans="1:9" x14ac:dyDescent="0.3">
      <c r="A600" s="13">
        <v>45890</v>
      </c>
      <c r="B600">
        <v>2025</v>
      </c>
      <c r="C600">
        <v>8</v>
      </c>
      <c r="D600" t="s">
        <v>8</v>
      </c>
      <c r="E600" t="s">
        <v>62</v>
      </c>
      <c r="F600" t="s">
        <v>111</v>
      </c>
      <c r="G600">
        <v>21</v>
      </c>
      <c r="H600" t="s">
        <v>113</v>
      </c>
      <c r="I600" s="13">
        <v>45900</v>
      </c>
    </row>
    <row r="601" spans="1:9" x14ac:dyDescent="0.3">
      <c r="A601" s="13">
        <v>45891</v>
      </c>
      <c r="B601">
        <v>2025</v>
      </c>
      <c r="C601">
        <v>8</v>
      </c>
      <c r="D601" t="s">
        <v>8</v>
      </c>
      <c r="E601" t="s">
        <v>62</v>
      </c>
      <c r="F601" t="s">
        <v>111</v>
      </c>
      <c r="G601">
        <v>22</v>
      </c>
      <c r="H601" t="s">
        <v>113</v>
      </c>
      <c r="I601" s="13">
        <v>45900</v>
      </c>
    </row>
    <row r="602" spans="1:9" x14ac:dyDescent="0.3">
      <c r="A602" s="13">
        <v>45892</v>
      </c>
      <c r="B602">
        <v>2025</v>
      </c>
      <c r="C602">
        <v>8</v>
      </c>
      <c r="D602" t="s">
        <v>8</v>
      </c>
      <c r="E602" t="s">
        <v>62</v>
      </c>
      <c r="F602" t="s">
        <v>111</v>
      </c>
      <c r="G602">
        <v>23</v>
      </c>
      <c r="H602" t="s">
        <v>113</v>
      </c>
      <c r="I602" s="13">
        <v>45900</v>
      </c>
    </row>
    <row r="603" spans="1:9" x14ac:dyDescent="0.3">
      <c r="A603" s="13">
        <v>45893</v>
      </c>
      <c r="B603">
        <v>2025</v>
      </c>
      <c r="C603">
        <v>8</v>
      </c>
      <c r="D603" t="s">
        <v>8</v>
      </c>
      <c r="E603" t="s">
        <v>62</v>
      </c>
      <c r="F603" t="s">
        <v>111</v>
      </c>
      <c r="G603">
        <v>24</v>
      </c>
      <c r="H603" t="s">
        <v>113</v>
      </c>
      <c r="I603" s="13">
        <v>45900</v>
      </c>
    </row>
    <row r="604" spans="1:9" x14ac:dyDescent="0.3">
      <c r="A604" s="13">
        <v>45894</v>
      </c>
      <c r="B604">
        <v>2025</v>
      </c>
      <c r="C604">
        <v>8</v>
      </c>
      <c r="D604" t="s">
        <v>8</v>
      </c>
      <c r="E604" t="s">
        <v>62</v>
      </c>
      <c r="F604" t="s">
        <v>111</v>
      </c>
      <c r="G604">
        <v>25</v>
      </c>
      <c r="H604" t="s">
        <v>113</v>
      </c>
      <c r="I604" s="13">
        <v>45900</v>
      </c>
    </row>
    <row r="605" spans="1:9" x14ac:dyDescent="0.3">
      <c r="A605" s="13">
        <v>45895</v>
      </c>
      <c r="B605">
        <v>2025</v>
      </c>
      <c r="C605">
        <v>8</v>
      </c>
      <c r="D605" t="s">
        <v>8</v>
      </c>
      <c r="E605" t="s">
        <v>62</v>
      </c>
      <c r="F605" t="s">
        <v>111</v>
      </c>
      <c r="G605">
        <v>26</v>
      </c>
      <c r="H605" t="s">
        <v>113</v>
      </c>
      <c r="I605" s="13">
        <v>45900</v>
      </c>
    </row>
    <row r="606" spans="1:9" x14ac:dyDescent="0.3">
      <c r="A606" s="13">
        <v>45896</v>
      </c>
      <c r="B606">
        <v>2025</v>
      </c>
      <c r="C606">
        <v>8</v>
      </c>
      <c r="D606" t="s">
        <v>8</v>
      </c>
      <c r="E606" t="s">
        <v>62</v>
      </c>
      <c r="F606" t="s">
        <v>111</v>
      </c>
      <c r="G606">
        <v>27</v>
      </c>
      <c r="H606" t="s">
        <v>113</v>
      </c>
      <c r="I606" s="13">
        <v>45900</v>
      </c>
    </row>
    <row r="607" spans="1:9" x14ac:dyDescent="0.3">
      <c r="A607" s="13">
        <v>45897</v>
      </c>
      <c r="B607">
        <v>2025</v>
      </c>
      <c r="C607">
        <v>8</v>
      </c>
      <c r="D607" t="s">
        <v>8</v>
      </c>
      <c r="E607" t="s">
        <v>62</v>
      </c>
      <c r="F607" t="s">
        <v>111</v>
      </c>
      <c r="G607">
        <v>28</v>
      </c>
      <c r="H607" t="s">
        <v>113</v>
      </c>
      <c r="I607" s="13">
        <v>45900</v>
      </c>
    </row>
    <row r="608" spans="1:9" x14ac:dyDescent="0.3">
      <c r="A608" s="13">
        <v>45898</v>
      </c>
      <c r="B608">
        <v>2025</v>
      </c>
      <c r="C608">
        <v>8</v>
      </c>
      <c r="D608" t="s">
        <v>8</v>
      </c>
      <c r="E608" t="s">
        <v>62</v>
      </c>
      <c r="F608" t="s">
        <v>111</v>
      </c>
      <c r="G608">
        <v>29</v>
      </c>
      <c r="H608" t="s">
        <v>113</v>
      </c>
      <c r="I608" s="13">
        <v>45900</v>
      </c>
    </row>
    <row r="609" spans="1:9" x14ac:dyDescent="0.3">
      <c r="A609" s="13">
        <v>45899</v>
      </c>
      <c r="B609">
        <v>2025</v>
      </c>
      <c r="C609">
        <v>8</v>
      </c>
      <c r="D609" t="s">
        <v>8</v>
      </c>
      <c r="E609" t="s">
        <v>62</v>
      </c>
      <c r="F609" t="s">
        <v>111</v>
      </c>
      <c r="G609">
        <v>30</v>
      </c>
      <c r="H609" t="s">
        <v>113</v>
      </c>
      <c r="I609" s="13">
        <v>45900</v>
      </c>
    </row>
    <row r="610" spans="1:9" x14ac:dyDescent="0.3">
      <c r="A610" s="13">
        <v>45900</v>
      </c>
      <c r="B610">
        <v>2025</v>
      </c>
      <c r="C610">
        <v>8</v>
      </c>
      <c r="D610" t="s">
        <v>8</v>
      </c>
      <c r="E610" t="s">
        <v>62</v>
      </c>
      <c r="F610" t="s">
        <v>111</v>
      </c>
      <c r="G610">
        <v>31</v>
      </c>
      <c r="H610" t="s">
        <v>113</v>
      </c>
      <c r="I610" s="13">
        <v>45900</v>
      </c>
    </row>
    <row r="611" spans="1:9" x14ac:dyDescent="0.3">
      <c r="A611" s="13">
        <v>45901</v>
      </c>
      <c r="B611">
        <v>2025</v>
      </c>
      <c r="C611">
        <v>9</v>
      </c>
      <c r="D611" t="s">
        <v>9</v>
      </c>
      <c r="E611" t="s">
        <v>63</v>
      </c>
      <c r="F611" t="s">
        <v>111</v>
      </c>
      <c r="G611">
        <v>1</v>
      </c>
      <c r="H611" t="s">
        <v>114</v>
      </c>
      <c r="I611" s="13">
        <v>45930</v>
      </c>
    </row>
    <row r="612" spans="1:9" x14ac:dyDescent="0.3">
      <c r="A612" s="13">
        <v>45902</v>
      </c>
      <c r="B612">
        <v>2025</v>
      </c>
      <c r="C612">
        <v>9</v>
      </c>
      <c r="D612" t="s">
        <v>9</v>
      </c>
      <c r="E612" t="s">
        <v>63</v>
      </c>
      <c r="F612" t="s">
        <v>111</v>
      </c>
      <c r="G612">
        <v>2</v>
      </c>
      <c r="H612" t="s">
        <v>114</v>
      </c>
      <c r="I612" s="13">
        <v>45930</v>
      </c>
    </row>
    <row r="613" spans="1:9" x14ac:dyDescent="0.3">
      <c r="A613" s="13">
        <v>45903</v>
      </c>
      <c r="B613">
        <v>2025</v>
      </c>
      <c r="C613">
        <v>9</v>
      </c>
      <c r="D613" t="s">
        <v>9</v>
      </c>
      <c r="E613" t="s">
        <v>63</v>
      </c>
      <c r="F613" t="s">
        <v>111</v>
      </c>
      <c r="G613">
        <v>3</v>
      </c>
      <c r="H613" t="s">
        <v>114</v>
      </c>
      <c r="I613" s="13">
        <v>45930</v>
      </c>
    </row>
    <row r="614" spans="1:9" x14ac:dyDescent="0.3">
      <c r="A614" s="13">
        <v>45904</v>
      </c>
      <c r="B614">
        <v>2025</v>
      </c>
      <c r="C614">
        <v>9</v>
      </c>
      <c r="D614" t="s">
        <v>9</v>
      </c>
      <c r="E614" t="s">
        <v>63</v>
      </c>
      <c r="F614" t="s">
        <v>111</v>
      </c>
      <c r="G614">
        <v>4</v>
      </c>
      <c r="H614" t="s">
        <v>114</v>
      </c>
      <c r="I614" s="13">
        <v>45930</v>
      </c>
    </row>
    <row r="615" spans="1:9" x14ac:dyDescent="0.3">
      <c r="A615" s="13">
        <v>45905</v>
      </c>
      <c r="B615">
        <v>2025</v>
      </c>
      <c r="C615">
        <v>9</v>
      </c>
      <c r="D615" t="s">
        <v>9</v>
      </c>
      <c r="E615" t="s">
        <v>63</v>
      </c>
      <c r="F615" t="s">
        <v>111</v>
      </c>
      <c r="G615">
        <v>5</v>
      </c>
      <c r="H615" t="s">
        <v>114</v>
      </c>
      <c r="I615" s="13">
        <v>45930</v>
      </c>
    </row>
    <row r="616" spans="1:9" x14ac:dyDescent="0.3">
      <c r="A616" s="13">
        <v>45906</v>
      </c>
      <c r="B616">
        <v>2025</v>
      </c>
      <c r="C616">
        <v>9</v>
      </c>
      <c r="D616" t="s">
        <v>9</v>
      </c>
      <c r="E616" t="s">
        <v>63</v>
      </c>
      <c r="F616" t="s">
        <v>111</v>
      </c>
      <c r="G616">
        <v>6</v>
      </c>
      <c r="H616" t="s">
        <v>114</v>
      </c>
      <c r="I616" s="13">
        <v>45930</v>
      </c>
    </row>
    <row r="617" spans="1:9" x14ac:dyDescent="0.3">
      <c r="A617" s="13">
        <v>45907</v>
      </c>
      <c r="B617">
        <v>2025</v>
      </c>
      <c r="C617">
        <v>9</v>
      </c>
      <c r="D617" t="s">
        <v>9</v>
      </c>
      <c r="E617" t="s">
        <v>63</v>
      </c>
      <c r="F617" t="s">
        <v>111</v>
      </c>
      <c r="G617">
        <v>7</v>
      </c>
      <c r="H617" t="s">
        <v>114</v>
      </c>
      <c r="I617" s="13">
        <v>45930</v>
      </c>
    </row>
    <row r="618" spans="1:9" x14ac:dyDescent="0.3">
      <c r="A618" s="13">
        <v>45908</v>
      </c>
      <c r="B618">
        <v>2025</v>
      </c>
      <c r="C618">
        <v>9</v>
      </c>
      <c r="D618" t="s">
        <v>9</v>
      </c>
      <c r="E618" t="s">
        <v>63</v>
      </c>
      <c r="F618" t="s">
        <v>111</v>
      </c>
      <c r="G618">
        <v>8</v>
      </c>
      <c r="H618" t="s">
        <v>114</v>
      </c>
      <c r="I618" s="13">
        <v>45930</v>
      </c>
    </row>
    <row r="619" spans="1:9" x14ac:dyDescent="0.3">
      <c r="A619" s="13">
        <v>45909</v>
      </c>
      <c r="B619">
        <v>2025</v>
      </c>
      <c r="C619">
        <v>9</v>
      </c>
      <c r="D619" t="s">
        <v>9</v>
      </c>
      <c r="E619" t="s">
        <v>63</v>
      </c>
      <c r="F619" t="s">
        <v>111</v>
      </c>
      <c r="G619">
        <v>9</v>
      </c>
      <c r="H619" t="s">
        <v>114</v>
      </c>
      <c r="I619" s="13">
        <v>45930</v>
      </c>
    </row>
    <row r="620" spans="1:9" x14ac:dyDescent="0.3">
      <c r="A620" s="13">
        <v>45910</v>
      </c>
      <c r="B620">
        <v>2025</v>
      </c>
      <c r="C620">
        <v>9</v>
      </c>
      <c r="D620" t="s">
        <v>9</v>
      </c>
      <c r="E620" t="s">
        <v>63</v>
      </c>
      <c r="F620" t="s">
        <v>111</v>
      </c>
      <c r="G620">
        <v>10</v>
      </c>
      <c r="H620" t="s">
        <v>114</v>
      </c>
      <c r="I620" s="13">
        <v>45930</v>
      </c>
    </row>
    <row r="621" spans="1:9" x14ac:dyDescent="0.3">
      <c r="A621" s="13">
        <v>45911</v>
      </c>
      <c r="B621">
        <v>2025</v>
      </c>
      <c r="C621">
        <v>9</v>
      </c>
      <c r="D621" t="s">
        <v>9</v>
      </c>
      <c r="E621" t="s">
        <v>63</v>
      </c>
      <c r="F621" t="s">
        <v>111</v>
      </c>
      <c r="G621">
        <v>11</v>
      </c>
      <c r="H621" t="s">
        <v>114</v>
      </c>
      <c r="I621" s="13">
        <v>45930</v>
      </c>
    </row>
    <row r="622" spans="1:9" x14ac:dyDescent="0.3">
      <c r="A622" s="13">
        <v>45912</v>
      </c>
      <c r="B622">
        <v>2025</v>
      </c>
      <c r="C622">
        <v>9</v>
      </c>
      <c r="D622" t="s">
        <v>9</v>
      </c>
      <c r="E622" t="s">
        <v>63</v>
      </c>
      <c r="F622" t="s">
        <v>111</v>
      </c>
      <c r="G622">
        <v>12</v>
      </c>
      <c r="H622" t="s">
        <v>114</v>
      </c>
      <c r="I622" s="13">
        <v>45930</v>
      </c>
    </row>
    <row r="623" spans="1:9" x14ac:dyDescent="0.3">
      <c r="A623" s="13">
        <v>45913</v>
      </c>
      <c r="B623">
        <v>2025</v>
      </c>
      <c r="C623">
        <v>9</v>
      </c>
      <c r="D623" t="s">
        <v>9</v>
      </c>
      <c r="E623" t="s">
        <v>63</v>
      </c>
      <c r="F623" t="s">
        <v>111</v>
      </c>
      <c r="G623">
        <v>13</v>
      </c>
      <c r="H623" t="s">
        <v>114</v>
      </c>
      <c r="I623" s="13">
        <v>45930</v>
      </c>
    </row>
    <row r="624" spans="1:9" x14ac:dyDescent="0.3">
      <c r="A624" s="13">
        <v>45914</v>
      </c>
      <c r="B624">
        <v>2025</v>
      </c>
      <c r="C624">
        <v>9</v>
      </c>
      <c r="D624" t="s">
        <v>9</v>
      </c>
      <c r="E624" t="s">
        <v>63</v>
      </c>
      <c r="F624" t="s">
        <v>111</v>
      </c>
      <c r="G624">
        <v>14</v>
      </c>
      <c r="H624" t="s">
        <v>114</v>
      </c>
      <c r="I624" s="13">
        <v>45930</v>
      </c>
    </row>
    <row r="625" spans="1:9" x14ac:dyDescent="0.3">
      <c r="A625" s="13">
        <v>45915</v>
      </c>
      <c r="B625">
        <v>2025</v>
      </c>
      <c r="C625">
        <v>9</v>
      </c>
      <c r="D625" t="s">
        <v>9</v>
      </c>
      <c r="E625" t="s">
        <v>63</v>
      </c>
      <c r="F625" t="s">
        <v>111</v>
      </c>
      <c r="G625">
        <v>15</v>
      </c>
      <c r="H625" t="s">
        <v>114</v>
      </c>
      <c r="I625" s="13">
        <v>45930</v>
      </c>
    </row>
    <row r="626" spans="1:9" x14ac:dyDescent="0.3">
      <c r="A626" s="13">
        <v>45916</v>
      </c>
      <c r="B626">
        <v>2025</v>
      </c>
      <c r="C626">
        <v>9</v>
      </c>
      <c r="D626" t="s">
        <v>9</v>
      </c>
      <c r="E626" t="s">
        <v>63</v>
      </c>
      <c r="F626" t="s">
        <v>111</v>
      </c>
      <c r="G626">
        <v>16</v>
      </c>
      <c r="H626" t="s">
        <v>114</v>
      </c>
      <c r="I626" s="13">
        <v>45930</v>
      </c>
    </row>
    <row r="627" spans="1:9" x14ac:dyDescent="0.3">
      <c r="A627" s="13">
        <v>45917</v>
      </c>
      <c r="B627">
        <v>2025</v>
      </c>
      <c r="C627">
        <v>9</v>
      </c>
      <c r="D627" t="s">
        <v>9</v>
      </c>
      <c r="E627" t="s">
        <v>63</v>
      </c>
      <c r="F627" t="s">
        <v>111</v>
      </c>
      <c r="G627">
        <v>17</v>
      </c>
      <c r="H627" t="s">
        <v>114</v>
      </c>
      <c r="I627" s="13">
        <v>45930</v>
      </c>
    </row>
    <row r="628" spans="1:9" x14ac:dyDescent="0.3">
      <c r="A628" s="13">
        <v>45918</v>
      </c>
      <c r="B628">
        <v>2025</v>
      </c>
      <c r="C628">
        <v>9</v>
      </c>
      <c r="D628" t="s">
        <v>9</v>
      </c>
      <c r="E628" t="s">
        <v>63</v>
      </c>
      <c r="F628" t="s">
        <v>111</v>
      </c>
      <c r="G628">
        <v>18</v>
      </c>
      <c r="H628" t="s">
        <v>114</v>
      </c>
      <c r="I628" s="13">
        <v>45930</v>
      </c>
    </row>
    <row r="629" spans="1:9" x14ac:dyDescent="0.3">
      <c r="A629" s="13">
        <v>45919</v>
      </c>
      <c r="B629">
        <v>2025</v>
      </c>
      <c r="C629">
        <v>9</v>
      </c>
      <c r="D629" t="s">
        <v>9</v>
      </c>
      <c r="E629" t="s">
        <v>63</v>
      </c>
      <c r="F629" t="s">
        <v>111</v>
      </c>
      <c r="G629">
        <v>19</v>
      </c>
      <c r="H629" t="s">
        <v>114</v>
      </c>
      <c r="I629" s="13">
        <v>45930</v>
      </c>
    </row>
    <row r="630" spans="1:9" x14ac:dyDescent="0.3">
      <c r="A630" s="13">
        <v>45920</v>
      </c>
      <c r="B630">
        <v>2025</v>
      </c>
      <c r="C630">
        <v>9</v>
      </c>
      <c r="D630" t="s">
        <v>9</v>
      </c>
      <c r="E630" t="s">
        <v>63</v>
      </c>
      <c r="F630" t="s">
        <v>111</v>
      </c>
      <c r="G630">
        <v>20</v>
      </c>
      <c r="H630" t="s">
        <v>114</v>
      </c>
      <c r="I630" s="13">
        <v>45930</v>
      </c>
    </row>
    <row r="631" spans="1:9" x14ac:dyDescent="0.3">
      <c r="A631" s="13">
        <v>45921</v>
      </c>
      <c r="B631">
        <v>2025</v>
      </c>
      <c r="C631">
        <v>9</v>
      </c>
      <c r="D631" t="s">
        <v>9</v>
      </c>
      <c r="E631" t="s">
        <v>63</v>
      </c>
      <c r="F631" t="s">
        <v>111</v>
      </c>
      <c r="G631">
        <v>21</v>
      </c>
      <c r="H631" t="s">
        <v>114</v>
      </c>
      <c r="I631" s="13">
        <v>45930</v>
      </c>
    </row>
    <row r="632" spans="1:9" x14ac:dyDescent="0.3">
      <c r="A632" s="13">
        <v>45922</v>
      </c>
      <c r="B632">
        <v>2025</v>
      </c>
      <c r="C632">
        <v>9</v>
      </c>
      <c r="D632" t="s">
        <v>9</v>
      </c>
      <c r="E632" t="s">
        <v>63</v>
      </c>
      <c r="F632" t="s">
        <v>111</v>
      </c>
      <c r="G632">
        <v>22</v>
      </c>
      <c r="H632" t="s">
        <v>114</v>
      </c>
      <c r="I632" s="13">
        <v>45930</v>
      </c>
    </row>
    <row r="633" spans="1:9" x14ac:dyDescent="0.3">
      <c r="A633" s="13">
        <v>45923</v>
      </c>
      <c r="B633">
        <v>2025</v>
      </c>
      <c r="C633">
        <v>9</v>
      </c>
      <c r="D633" t="s">
        <v>9</v>
      </c>
      <c r="E633" t="s">
        <v>63</v>
      </c>
      <c r="F633" t="s">
        <v>111</v>
      </c>
      <c r="G633">
        <v>23</v>
      </c>
      <c r="H633" t="s">
        <v>114</v>
      </c>
      <c r="I633" s="13">
        <v>45930</v>
      </c>
    </row>
    <row r="634" spans="1:9" x14ac:dyDescent="0.3">
      <c r="A634" s="13">
        <v>45924</v>
      </c>
      <c r="B634">
        <v>2025</v>
      </c>
      <c r="C634">
        <v>9</v>
      </c>
      <c r="D634" t="s">
        <v>9</v>
      </c>
      <c r="E634" t="s">
        <v>63</v>
      </c>
      <c r="F634" t="s">
        <v>111</v>
      </c>
      <c r="G634">
        <v>24</v>
      </c>
      <c r="H634" t="s">
        <v>114</v>
      </c>
      <c r="I634" s="13">
        <v>45930</v>
      </c>
    </row>
    <row r="635" spans="1:9" x14ac:dyDescent="0.3">
      <c r="A635" s="13">
        <v>45925</v>
      </c>
      <c r="B635">
        <v>2025</v>
      </c>
      <c r="C635">
        <v>9</v>
      </c>
      <c r="D635" t="s">
        <v>9</v>
      </c>
      <c r="E635" t="s">
        <v>63</v>
      </c>
      <c r="F635" t="s">
        <v>111</v>
      </c>
      <c r="G635">
        <v>25</v>
      </c>
      <c r="H635" t="s">
        <v>114</v>
      </c>
      <c r="I635" s="13">
        <v>45930</v>
      </c>
    </row>
    <row r="636" spans="1:9" x14ac:dyDescent="0.3">
      <c r="A636" s="13">
        <v>45926</v>
      </c>
      <c r="B636">
        <v>2025</v>
      </c>
      <c r="C636">
        <v>9</v>
      </c>
      <c r="D636" t="s">
        <v>9</v>
      </c>
      <c r="E636" t="s">
        <v>63</v>
      </c>
      <c r="F636" t="s">
        <v>111</v>
      </c>
      <c r="G636">
        <v>26</v>
      </c>
      <c r="H636" t="s">
        <v>114</v>
      </c>
      <c r="I636" s="13">
        <v>45930</v>
      </c>
    </row>
    <row r="637" spans="1:9" x14ac:dyDescent="0.3">
      <c r="A637" s="13">
        <v>45927</v>
      </c>
      <c r="B637">
        <v>2025</v>
      </c>
      <c r="C637">
        <v>9</v>
      </c>
      <c r="D637" t="s">
        <v>9</v>
      </c>
      <c r="E637" t="s">
        <v>63</v>
      </c>
      <c r="F637" t="s">
        <v>111</v>
      </c>
      <c r="G637">
        <v>27</v>
      </c>
      <c r="H637" t="s">
        <v>114</v>
      </c>
      <c r="I637" s="13">
        <v>45930</v>
      </c>
    </row>
    <row r="638" spans="1:9" x14ac:dyDescent="0.3">
      <c r="A638" s="13">
        <v>45928</v>
      </c>
      <c r="B638">
        <v>2025</v>
      </c>
      <c r="C638">
        <v>9</v>
      </c>
      <c r="D638" t="s">
        <v>9</v>
      </c>
      <c r="E638" t="s">
        <v>63</v>
      </c>
      <c r="F638" t="s">
        <v>111</v>
      </c>
      <c r="G638">
        <v>28</v>
      </c>
      <c r="H638" t="s">
        <v>114</v>
      </c>
      <c r="I638" s="13">
        <v>45930</v>
      </c>
    </row>
    <row r="639" spans="1:9" x14ac:dyDescent="0.3">
      <c r="A639" s="13">
        <v>45929</v>
      </c>
      <c r="B639">
        <v>2025</v>
      </c>
      <c r="C639">
        <v>9</v>
      </c>
      <c r="D639" t="s">
        <v>9</v>
      </c>
      <c r="E639" t="s">
        <v>63</v>
      </c>
      <c r="F639" t="s">
        <v>111</v>
      </c>
      <c r="G639">
        <v>29</v>
      </c>
      <c r="H639" t="s">
        <v>114</v>
      </c>
      <c r="I639" s="13">
        <v>45930</v>
      </c>
    </row>
    <row r="640" spans="1:9" x14ac:dyDescent="0.3">
      <c r="A640" s="13">
        <v>45930</v>
      </c>
      <c r="B640">
        <v>2025</v>
      </c>
      <c r="C640">
        <v>9</v>
      </c>
      <c r="D640" t="s">
        <v>9</v>
      </c>
      <c r="E640" t="s">
        <v>63</v>
      </c>
      <c r="F640" t="s">
        <v>111</v>
      </c>
      <c r="G640">
        <v>30</v>
      </c>
      <c r="H640" t="s">
        <v>114</v>
      </c>
      <c r="I640" s="13">
        <v>45930</v>
      </c>
    </row>
    <row r="641" spans="1:9" x14ac:dyDescent="0.3">
      <c r="A641" s="13">
        <v>45931</v>
      </c>
      <c r="B641">
        <v>2025</v>
      </c>
      <c r="C641">
        <v>10</v>
      </c>
      <c r="D641" t="s">
        <v>10</v>
      </c>
      <c r="E641" t="s">
        <v>64</v>
      </c>
      <c r="F641" t="s">
        <v>115</v>
      </c>
      <c r="G641">
        <v>1</v>
      </c>
      <c r="H641" t="s">
        <v>116</v>
      </c>
      <c r="I641" s="13">
        <v>45961</v>
      </c>
    </row>
    <row r="642" spans="1:9" x14ac:dyDescent="0.3">
      <c r="A642" s="13">
        <v>45932</v>
      </c>
      <c r="B642">
        <v>2025</v>
      </c>
      <c r="C642">
        <v>10</v>
      </c>
      <c r="D642" t="s">
        <v>10</v>
      </c>
      <c r="E642" t="s">
        <v>64</v>
      </c>
      <c r="F642" t="s">
        <v>115</v>
      </c>
      <c r="G642">
        <v>2</v>
      </c>
      <c r="H642" t="s">
        <v>116</v>
      </c>
      <c r="I642" s="13">
        <v>45961</v>
      </c>
    </row>
    <row r="643" spans="1:9" x14ac:dyDescent="0.3">
      <c r="A643" s="13">
        <v>45933</v>
      </c>
      <c r="B643">
        <v>2025</v>
      </c>
      <c r="C643">
        <v>10</v>
      </c>
      <c r="D643" t="s">
        <v>10</v>
      </c>
      <c r="E643" t="s">
        <v>64</v>
      </c>
      <c r="F643" t="s">
        <v>115</v>
      </c>
      <c r="G643">
        <v>3</v>
      </c>
      <c r="H643" t="s">
        <v>116</v>
      </c>
      <c r="I643" s="13">
        <v>45961</v>
      </c>
    </row>
    <row r="644" spans="1:9" x14ac:dyDescent="0.3">
      <c r="A644" s="13">
        <v>45934</v>
      </c>
      <c r="B644">
        <v>2025</v>
      </c>
      <c r="C644">
        <v>10</v>
      </c>
      <c r="D644" t="s">
        <v>10</v>
      </c>
      <c r="E644" t="s">
        <v>64</v>
      </c>
      <c r="F644" t="s">
        <v>115</v>
      </c>
      <c r="G644">
        <v>4</v>
      </c>
      <c r="H644" t="s">
        <v>116</v>
      </c>
      <c r="I644" s="13">
        <v>45961</v>
      </c>
    </row>
    <row r="645" spans="1:9" x14ac:dyDescent="0.3">
      <c r="A645" s="13">
        <v>45935</v>
      </c>
      <c r="B645">
        <v>2025</v>
      </c>
      <c r="C645">
        <v>10</v>
      </c>
      <c r="D645" t="s">
        <v>10</v>
      </c>
      <c r="E645" t="s">
        <v>64</v>
      </c>
      <c r="F645" t="s">
        <v>115</v>
      </c>
      <c r="G645">
        <v>5</v>
      </c>
      <c r="H645" t="s">
        <v>116</v>
      </c>
      <c r="I645" s="13">
        <v>45961</v>
      </c>
    </row>
    <row r="646" spans="1:9" x14ac:dyDescent="0.3">
      <c r="A646" s="13">
        <v>45936</v>
      </c>
      <c r="B646">
        <v>2025</v>
      </c>
      <c r="C646">
        <v>10</v>
      </c>
      <c r="D646" t="s">
        <v>10</v>
      </c>
      <c r="E646" t="s">
        <v>64</v>
      </c>
      <c r="F646" t="s">
        <v>115</v>
      </c>
      <c r="G646">
        <v>6</v>
      </c>
      <c r="H646" t="s">
        <v>116</v>
      </c>
      <c r="I646" s="13">
        <v>45961</v>
      </c>
    </row>
    <row r="647" spans="1:9" x14ac:dyDescent="0.3">
      <c r="A647" s="13">
        <v>45937</v>
      </c>
      <c r="B647">
        <v>2025</v>
      </c>
      <c r="C647">
        <v>10</v>
      </c>
      <c r="D647" t="s">
        <v>10</v>
      </c>
      <c r="E647" t="s">
        <v>64</v>
      </c>
      <c r="F647" t="s">
        <v>115</v>
      </c>
      <c r="G647">
        <v>7</v>
      </c>
      <c r="H647" t="s">
        <v>116</v>
      </c>
      <c r="I647" s="13">
        <v>45961</v>
      </c>
    </row>
    <row r="648" spans="1:9" x14ac:dyDescent="0.3">
      <c r="A648" s="13">
        <v>45938</v>
      </c>
      <c r="B648">
        <v>2025</v>
      </c>
      <c r="C648">
        <v>10</v>
      </c>
      <c r="D648" t="s">
        <v>10</v>
      </c>
      <c r="E648" t="s">
        <v>64</v>
      </c>
      <c r="F648" t="s">
        <v>115</v>
      </c>
      <c r="G648">
        <v>8</v>
      </c>
      <c r="H648" t="s">
        <v>116</v>
      </c>
      <c r="I648" s="13">
        <v>45961</v>
      </c>
    </row>
    <row r="649" spans="1:9" x14ac:dyDescent="0.3">
      <c r="A649" s="13">
        <v>45939</v>
      </c>
      <c r="B649">
        <v>2025</v>
      </c>
      <c r="C649">
        <v>10</v>
      </c>
      <c r="D649" t="s">
        <v>10</v>
      </c>
      <c r="E649" t="s">
        <v>64</v>
      </c>
      <c r="F649" t="s">
        <v>115</v>
      </c>
      <c r="G649">
        <v>9</v>
      </c>
      <c r="H649" t="s">
        <v>116</v>
      </c>
      <c r="I649" s="13">
        <v>45961</v>
      </c>
    </row>
    <row r="650" spans="1:9" x14ac:dyDescent="0.3">
      <c r="A650" s="13">
        <v>45940</v>
      </c>
      <c r="B650">
        <v>2025</v>
      </c>
      <c r="C650">
        <v>10</v>
      </c>
      <c r="D650" t="s">
        <v>10</v>
      </c>
      <c r="E650" t="s">
        <v>64</v>
      </c>
      <c r="F650" t="s">
        <v>115</v>
      </c>
      <c r="G650">
        <v>10</v>
      </c>
      <c r="H650" t="s">
        <v>116</v>
      </c>
      <c r="I650" s="13">
        <v>45961</v>
      </c>
    </row>
    <row r="651" spans="1:9" x14ac:dyDescent="0.3">
      <c r="A651" s="13">
        <v>45941</v>
      </c>
      <c r="B651">
        <v>2025</v>
      </c>
      <c r="C651">
        <v>10</v>
      </c>
      <c r="D651" t="s">
        <v>10</v>
      </c>
      <c r="E651" t="s">
        <v>64</v>
      </c>
      <c r="F651" t="s">
        <v>115</v>
      </c>
      <c r="G651">
        <v>11</v>
      </c>
      <c r="H651" t="s">
        <v>116</v>
      </c>
      <c r="I651" s="13">
        <v>45961</v>
      </c>
    </row>
    <row r="652" spans="1:9" x14ac:dyDescent="0.3">
      <c r="A652" s="13">
        <v>45942</v>
      </c>
      <c r="B652">
        <v>2025</v>
      </c>
      <c r="C652">
        <v>10</v>
      </c>
      <c r="D652" t="s">
        <v>10</v>
      </c>
      <c r="E652" t="s">
        <v>64</v>
      </c>
      <c r="F652" t="s">
        <v>115</v>
      </c>
      <c r="G652">
        <v>12</v>
      </c>
      <c r="H652" t="s">
        <v>116</v>
      </c>
      <c r="I652" s="13">
        <v>45961</v>
      </c>
    </row>
    <row r="653" spans="1:9" x14ac:dyDescent="0.3">
      <c r="A653" s="13">
        <v>45943</v>
      </c>
      <c r="B653">
        <v>2025</v>
      </c>
      <c r="C653">
        <v>10</v>
      </c>
      <c r="D653" t="s">
        <v>10</v>
      </c>
      <c r="E653" t="s">
        <v>64</v>
      </c>
      <c r="F653" t="s">
        <v>115</v>
      </c>
      <c r="G653">
        <v>13</v>
      </c>
      <c r="H653" t="s">
        <v>116</v>
      </c>
      <c r="I653" s="13">
        <v>45961</v>
      </c>
    </row>
    <row r="654" spans="1:9" x14ac:dyDescent="0.3">
      <c r="A654" s="13">
        <v>45944</v>
      </c>
      <c r="B654">
        <v>2025</v>
      </c>
      <c r="C654">
        <v>10</v>
      </c>
      <c r="D654" t="s">
        <v>10</v>
      </c>
      <c r="E654" t="s">
        <v>64</v>
      </c>
      <c r="F654" t="s">
        <v>115</v>
      </c>
      <c r="G654">
        <v>14</v>
      </c>
      <c r="H654" t="s">
        <v>116</v>
      </c>
      <c r="I654" s="13">
        <v>45961</v>
      </c>
    </row>
    <row r="655" spans="1:9" x14ac:dyDescent="0.3">
      <c r="A655" s="13">
        <v>45945</v>
      </c>
      <c r="B655">
        <v>2025</v>
      </c>
      <c r="C655">
        <v>10</v>
      </c>
      <c r="D655" t="s">
        <v>10</v>
      </c>
      <c r="E655" t="s">
        <v>64</v>
      </c>
      <c r="F655" t="s">
        <v>115</v>
      </c>
      <c r="G655">
        <v>15</v>
      </c>
      <c r="H655" t="s">
        <v>116</v>
      </c>
      <c r="I655" s="13">
        <v>45961</v>
      </c>
    </row>
    <row r="656" spans="1:9" x14ac:dyDescent="0.3">
      <c r="A656" s="13">
        <v>45946</v>
      </c>
      <c r="B656">
        <v>2025</v>
      </c>
      <c r="C656">
        <v>10</v>
      </c>
      <c r="D656" t="s">
        <v>10</v>
      </c>
      <c r="E656" t="s">
        <v>64</v>
      </c>
      <c r="F656" t="s">
        <v>115</v>
      </c>
      <c r="G656">
        <v>16</v>
      </c>
      <c r="H656" t="s">
        <v>116</v>
      </c>
      <c r="I656" s="13">
        <v>45961</v>
      </c>
    </row>
    <row r="657" spans="1:9" x14ac:dyDescent="0.3">
      <c r="A657" s="13">
        <v>45947</v>
      </c>
      <c r="B657">
        <v>2025</v>
      </c>
      <c r="C657">
        <v>10</v>
      </c>
      <c r="D657" t="s">
        <v>10</v>
      </c>
      <c r="E657" t="s">
        <v>64</v>
      </c>
      <c r="F657" t="s">
        <v>115</v>
      </c>
      <c r="G657">
        <v>17</v>
      </c>
      <c r="H657" t="s">
        <v>116</v>
      </c>
      <c r="I657" s="13">
        <v>45961</v>
      </c>
    </row>
    <row r="658" spans="1:9" x14ac:dyDescent="0.3">
      <c r="A658" s="13">
        <v>45948</v>
      </c>
      <c r="B658">
        <v>2025</v>
      </c>
      <c r="C658">
        <v>10</v>
      </c>
      <c r="D658" t="s">
        <v>10</v>
      </c>
      <c r="E658" t="s">
        <v>64</v>
      </c>
      <c r="F658" t="s">
        <v>115</v>
      </c>
      <c r="G658">
        <v>18</v>
      </c>
      <c r="H658" t="s">
        <v>116</v>
      </c>
      <c r="I658" s="13">
        <v>45961</v>
      </c>
    </row>
    <row r="659" spans="1:9" x14ac:dyDescent="0.3">
      <c r="A659" s="13">
        <v>45949</v>
      </c>
      <c r="B659">
        <v>2025</v>
      </c>
      <c r="C659">
        <v>10</v>
      </c>
      <c r="D659" t="s">
        <v>10</v>
      </c>
      <c r="E659" t="s">
        <v>64</v>
      </c>
      <c r="F659" t="s">
        <v>115</v>
      </c>
      <c r="G659">
        <v>19</v>
      </c>
      <c r="H659" t="s">
        <v>116</v>
      </c>
      <c r="I659" s="13">
        <v>45961</v>
      </c>
    </row>
    <row r="660" spans="1:9" x14ac:dyDescent="0.3">
      <c r="A660" s="13">
        <v>45950</v>
      </c>
      <c r="B660">
        <v>2025</v>
      </c>
      <c r="C660">
        <v>10</v>
      </c>
      <c r="D660" t="s">
        <v>10</v>
      </c>
      <c r="E660" t="s">
        <v>64</v>
      </c>
      <c r="F660" t="s">
        <v>115</v>
      </c>
      <c r="G660">
        <v>20</v>
      </c>
      <c r="H660" t="s">
        <v>116</v>
      </c>
      <c r="I660" s="13">
        <v>45961</v>
      </c>
    </row>
    <row r="661" spans="1:9" x14ac:dyDescent="0.3">
      <c r="A661" s="13">
        <v>45951</v>
      </c>
      <c r="B661">
        <v>2025</v>
      </c>
      <c r="C661">
        <v>10</v>
      </c>
      <c r="D661" t="s">
        <v>10</v>
      </c>
      <c r="E661" t="s">
        <v>64</v>
      </c>
      <c r="F661" t="s">
        <v>115</v>
      </c>
      <c r="G661">
        <v>21</v>
      </c>
      <c r="H661" t="s">
        <v>116</v>
      </c>
      <c r="I661" s="13">
        <v>45961</v>
      </c>
    </row>
    <row r="662" spans="1:9" x14ac:dyDescent="0.3">
      <c r="A662" s="13">
        <v>45952</v>
      </c>
      <c r="B662">
        <v>2025</v>
      </c>
      <c r="C662">
        <v>10</v>
      </c>
      <c r="D662" t="s">
        <v>10</v>
      </c>
      <c r="E662" t="s">
        <v>64</v>
      </c>
      <c r="F662" t="s">
        <v>115</v>
      </c>
      <c r="G662">
        <v>22</v>
      </c>
      <c r="H662" t="s">
        <v>116</v>
      </c>
      <c r="I662" s="13">
        <v>45961</v>
      </c>
    </row>
    <row r="663" spans="1:9" x14ac:dyDescent="0.3">
      <c r="A663" s="13">
        <v>45953</v>
      </c>
      <c r="B663">
        <v>2025</v>
      </c>
      <c r="C663">
        <v>10</v>
      </c>
      <c r="D663" t="s">
        <v>10</v>
      </c>
      <c r="E663" t="s">
        <v>64</v>
      </c>
      <c r="F663" t="s">
        <v>115</v>
      </c>
      <c r="G663">
        <v>23</v>
      </c>
      <c r="H663" t="s">
        <v>116</v>
      </c>
      <c r="I663" s="13">
        <v>45961</v>
      </c>
    </row>
    <row r="664" spans="1:9" x14ac:dyDescent="0.3">
      <c r="A664" s="13">
        <v>45954</v>
      </c>
      <c r="B664">
        <v>2025</v>
      </c>
      <c r="C664">
        <v>10</v>
      </c>
      <c r="D664" t="s">
        <v>10</v>
      </c>
      <c r="E664" t="s">
        <v>64</v>
      </c>
      <c r="F664" t="s">
        <v>115</v>
      </c>
      <c r="G664">
        <v>24</v>
      </c>
      <c r="H664" t="s">
        <v>116</v>
      </c>
      <c r="I664" s="13">
        <v>45961</v>
      </c>
    </row>
    <row r="665" spans="1:9" x14ac:dyDescent="0.3">
      <c r="A665" s="13">
        <v>45955</v>
      </c>
      <c r="B665">
        <v>2025</v>
      </c>
      <c r="C665">
        <v>10</v>
      </c>
      <c r="D665" t="s">
        <v>10</v>
      </c>
      <c r="E665" t="s">
        <v>64</v>
      </c>
      <c r="F665" t="s">
        <v>115</v>
      </c>
      <c r="G665">
        <v>25</v>
      </c>
      <c r="H665" t="s">
        <v>116</v>
      </c>
      <c r="I665" s="13">
        <v>45961</v>
      </c>
    </row>
    <row r="666" spans="1:9" x14ac:dyDescent="0.3">
      <c r="A666" s="13">
        <v>45956</v>
      </c>
      <c r="B666">
        <v>2025</v>
      </c>
      <c r="C666">
        <v>10</v>
      </c>
      <c r="D666" t="s">
        <v>10</v>
      </c>
      <c r="E666" t="s">
        <v>64</v>
      </c>
      <c r="F666" t="s">
        <v>115</v>
      </c>
      <c r="G666">
        <v>26</v>
      </c>
      <c r="H666" t="s">
        <v>116</v>
      </c>
      <c r="I666" s="13">
        <v>45961</v>
      </c>
    </row>
    <row r="667" spans="1:9" x14ac:dyDescent="0.3">
      <c r="A667" s="13">
        <v>45957</v>
      </c>
      <c r="B667">
        <v>2025</v>
      </c>
      <c r="C667">
        <v>10</v>
      </c>
      <c r="D667" t="s">
        <v>10</v>
      </c>
      <c r="E667" t="s">
        <v>64</v>
      </c>
      <c r="F667" t="s">
        <v>115</v>
      </c>
      <c r="G667">
        <v>27</v>
      </c>
      <c r="H667" t="s">
        <v>116</v>
      </c>
      <c r="I667" s="13">
        <v>45961</v>
      </c>
    </row>
    <row r="668" spans="1:9" x14ac:dyDescent="0.3">
      <c r="A668" s="13">
        <v>45958</v>
      </c>
      <c r="B668">
        <v>2025</v>
      </c>
      <c r="C668">
        <v>10</v>
      </c>
      <c r="D668" t="s">
        <v>10</v>
      </c>
      <c r="E668" t="s">
        <v>64</v>
      </c>
      <c r="F668" t="s">
        <v>115</v>
      </c>
      <c r="G668">
        <v>28</v>
      </c>
      <c r="H668" t="s">
        <v>116</v>
      </c>
      <c r="I668" s="13">
        <v>45961</v>
      </c>
    </row>
    <row r="669" spans="1:9" x14ac:dyDescent="0.3">
      <c r="A669" s="13">
        <v>45959</v>
      </c>
      <c r="B669">
        <v>2025</v>
      </c>
      <c r="C669">
        <v>10</v>
      </c>
      <c r="D669" t="s">
        <v>10</v>
      </c>
      <c r="E669" t="s">
        <v>64</v>
      </c>
      <c r="F669" t="s">
        <v>115</v>
      </c>
      <c r="G669">
        <v>29</v>
      </c>
      <c r="H669" t="s">
        <v>116</v>
      </c>
      <c r="I669" s="13">
        <v>45961</v>
      </c>
    </row>
    <row r="670" spans="1:9" x14ac:dyDescent="0.3">
      <c r="A670" s="13">
        <v>45960</v>
      </c>
      <c r="B670">
        <v>2025</v>
      </c>
      <c r="C670">
        <v>10</v>
      </c>
      <c r="D670" t="s">
        <v>10</v>
      </c>
      <c r="E670" t="s">
        <v>64</v>
      </c>
      <c r="F670" t="s">
        <v>115</v>
      </c>
      <c r="G670">
        <v>30</v>
      </c>
      <c r="H670" t="s">
        <v>116</v>
      </c>
      <c r="I670" s="13">
        <v>45961</v>
      </c>
    </row>
    <row r="671" spans="1:9" x14ac:dyDescent="0.3">
      <c r="A671" s="13">
        <v>45961</v>
      </c>
      <c r="B671">
        <v>2025</v>
      </c>
      <c r="C671">
        <v>10</v>
      </c>
      <c r="D671" t="s">
        <v>10</v>
      </c>
      <c r="E671" t="s">
        <v>64</v>
      </c>
      <c r="F671" t="s">
        <v>115</v>
      </c>
      <c r="G671">
        <v>31</v>
      </c>
      <c r="H671" t="s">
        <v>116</v>
      </c>
      <c r="I671" s="13">
        <v>45961</v>
      </c>
    </row>
    <row r="672" spans="1:9" x14ac:dyDescent="0.3">
      <c r="A672" s="13">
        <v>45962</v>
      </c>
      <c r="B672">
        <v>2025</v>
      </c>
      <c r="C672">
        <v>11</v>
      </c>
      <c r="D672" t="s">
        <v>11</v>
      </c>
      <c r="E672" t="s">
        <v>65</v>
      </c>
      <c r="F672" t="s">
        <v>115</v>
      </c>
      <c r="G672">
        <v>1</v>
      </c>
      <c r="H672" t="s">
        <v>117</v>
      </c>
      <c r="I672" s="13">
        <v>45991</v>
      </c>
    </row>
    <row r="673" spans="1:9" x14ac:dyDescent="0.3">
      <c r="A673" s="13">
        <v>45963</v>
      </c>
      <c r="B673">
        <v>2025</v>
      </c>
      <c r="C673">
        <v>11</v>
      </c>
      <c r="D673" t="s">
        <v>11</v>
      </c>
      <c r="E673" t="s">
        <v>65</v>
      </c>
      <c r="F673" t="s">
        <v>115</v>
      </c>
      <c r="G673">
        <v>2</v>
      </c>
      <c r="H673" t="s">
        <v>117</v>
      </c>
      <c r="I673" s="13">
        <v>45991</v>
      </c>
    </row>
    <row r="674" spans="1:9" x14ac:dyDescent="0.3">
      <c r="A674" s="13">
        <v>45964</v>
      </c>
      <c r="B674">
        <v>2025</v>
      </c>
      <c r="C674">
        <v>11</v>
      </c>
      <c r="D674" t="s">
        <v>11</v>
      </c>
      <c r="E674" t="s">
        <v>65</v>
      </c>
      <c r="F674" t="s">
        <v>115</v>
      </c>
      <c r="G674">
        <v>3</v>
      </c>
      <c r="H674" t="s">
        <v>117</v>
      </c>
      <c r="I674" s="13">
        <v>45991</v>
      </c>
    </row>
    <row r="675" spans="1:9" x14ac:dyDescent="0.3">
      <c r="A675" s="13">
        <v>45965</v>
      </c>
      <c r="B675">
        <v>2025</v>
      </c>
      <c r="C675">
        <v>11</v>
      </c>
      <c r="D675" t="s">
        <v>11</v>
      </c>
      <c r="E675" t="s">
        <v>65</v>
      </c>
      <c r="F675" t="s">
        <v>115</v>
      </c>
      <c r="G675">
        <v>4</v>
      </c>
      <c r="H675" t="s">
        <v>117</v>
      </c>
      <c r="I675" s="13">
        <v>45991</v>
      </c>
    </row>
    <row r="676" spans="1:9" x14ac:dyDescent="0.3">
      <c r="A676" s="13">
        <v>45966</v>
      </c>
      <c r="B676">
        <v>2025</v>
      </c>
      <c r="C676">
        <v>11</v>
      </c>
      <c r="D676" t="s">
        <v>11</v>
      </c>
      <c r="E676" t="s">
        <v>65</v>
      </c>
      <c r="F676" t="s">
        <v>115</v>
      </c>
      <c r="G676">
        <v>5</v>
      </c>
      <c r="H676" t="s">
        <v>117</v>
      </c>
      <c r="I676" s="13">
        <v>45991</v>
      </c>
    </row>
    <row r="677" spans="1:9" x14ac:dyDescent="0.3">
      <c r="A677" s="13">
        <v>45967</v>
      </c>
      <c r="B677">
        <v>2025</v>
      </c>
      <c r="C677">
        <v>11</v>
      </c>
      <c r="D677" t="s">
        <v>11</v>
      </c>
      <c r="E677" t="s">
        <v>65</v>
      </c>
      <c r="F677" t="s">
        <v>115</v>
      </c>
      <c r="G677">
        <v>6</v>
      </c>
      <c r="H677" t="s">
        <v>117</v>
      </c>
      <c r="I677" s="13">
        <v>45991</v>
      </c>
    </row>
    <row r="678" spans="1:9" x14ac:dyDescent="0.3">
      <c r="A678" s="13">
        <v>45968</v>
      </c>
      <c r="B678">
        <v>2025</v>
      </c>
      <c r="C678">
        <v>11</v>
      </c>
      <c r="D678" t="s">
        <v>11</v>
      </c>
      <c r="E678" t="s">
        <v>65</v>
      </c>
      <c r="F678" t="s">
        <v>115</v>
      </c>
      <c r="G678">
        <v>7</v>
      </c>
      <c r="H678" t="s">
        <v>117</v>
      </c>
      <c r="I678" s="13">
        <v>45991</v>
      </c>
    </row>
    <row r="679" spans="1:9" x14ac:dyDescent="0.3">
      <c r="A679" s="13">
        <v>45969</v>
      </c>
      <c r="B679">
        <v>2025</v>
      </c>
      <c r="C679">
        <v>11</v>
      </c>
      <c r="D679" t="s">
        <v>11</v>
      </c>
      <c r="E679" t="s">
        <v>65</v>
      </c>
      <c r="F679" t="s">
        <v>115</v>
      </c>
      <c r="G679">
        <v>8</v>
      </c>
      <c r="H679" t="s">
        <v>117</v>
      </c>
      <c r="I679" s="13">
        <v>45991</v>
      </c>
    </row>
    <row r="680" spans="1:9" x14ac:dyDescent="0.3">
      <c r="A680" s="13">
        <v>45970</v>
      </c>
      <c r="B680">
        <v>2025</v>
      </c>
      <c r="C680">
        <v>11</v>
      </c>
      <c r="D680" t="s">
        <v>11</v>
      </c>
      <c r="E680" t="s">
        <v>65</v>
      </c>
      <c r="F680" t="s">
        <v>115</v>
      </c>
      <c r="G680">
        <v>9</v>
      </c>
      <c r="H680" t="s">
        <v>117</v>
      </c>
      <c r="I680" s="13">
        <v>45991</v>
      </c>
    </row>
    <row r="681" spans="1:9" x14ac:dyDescent="0.3">
      <c r="A681" s="13">
        <v>45971</v>
      </c>
      <c r="B681">
        <v>2025</v>
      </c>
      <c r="C681">
        <v>11</v>
      </c>
      <c r="D681" t="s">
        <v>11</v>
      </c>
      <c r="E681" t="s">
        <v>65</v>
      </c>
      <c r="F681" t="s">
        <v>115</v>
      </c>
      <c r="G681">
        <v>10</v>
      </c>
      <c r="H681" t="s">
        <v>117</v>
      </c>
      <c r="I681" s="13">
        <v>45991</v>
      </c>
    </row>
    <row r="682" spans="1:9" x14ac:dyDescent="0.3">
      <c r="A682" s="13">
        <v>45972</v>
      </c>
      <c r="B682">
        <v>2025</v>
      </c>
      <c r="C682">
        <v>11</v>
      </c>
      <c r="D682" t="s">
        <v>11</v>
      </c>
      <c r="E682" t="s">
        <v>65</v>
      </c>
      <c r="F682" t="s">
        <v>115</v>
      </c>
      <c r="G682">
        <v>11</v>
      </c>
      <c r="H682" t="s">
        <v>117</v>
      </c>
      <c r="I682" s="13">
        <v>45991</v>
      </c>
    </row>
    <row r="683" spans="1:9" x14ac:dyDescent="0.3">
      <c r="A683" s="13">
        <v>45973</v>
      </c>
      <c r="B683">
        <v>2025</v>
      </c>
      <c r="C683">
        <v>11</v>
      </c>
      <c r="D683" t="s">
        <v>11</v>
      </c>
      <c r="E683" t="s">
        <v>65</v>
      </c>
      <c r="F683" t="s">
        <v>115</v>
      </c>
      <c r="G683">
        <v>12</v>
      </c>
      <c r="H683" t="s">
        <v>117</v>
      </c>
      <c r="I683" s="13">
        <v>45991</v>
      </c>
    </row>
    <row r="684" spans="1:9" x14ac:dyDescent="0.3">
      <c r="A684" s="13">
        <v>45974</v>
      </c>
      <c r="B684">
        <v>2025</v>
      </c>
      <c r="C684">
        <v>11</v>
      </c>
      <c r="D684" t="s">
        <v>11</v>
      </c>
      <c r="E684" t="s">
        <v>65</v>
      </c>
      <c r="F684" t="s">
        <v>115</v>
      </c>
      <c r="G684">
        <v>13</v>
      </c>
      <c r="H684" t="s">
        <v>117</v>
      </c>
      <c r="I684" s="13">
        <v>45991</v>
      </c>
    </row>
    <row r="685" spans="1:9" x14ac:dyDescent="0.3">
      <c r="A685" s="13">
        <v>45975</v>
      </c>
      <c r="B685">
        <v>2025</v>
      </c>
      <c r="C685">
        <v>11</v>
      </c>
      <c r="D685" t="s">
        <v>11</v>
      </c>
      <c r="E685" t="s">
        <v>65</v>
      </c>
      <c r="F685" t="s">
        <v>115</v>
      </c>
      <c r="G685">
        <v>14</v>
      </c>
      <c r="H685" t="s">
        <v>117</v>
      </c>
      <c r="I685" s="13">
        <v>45991</v>
      </c>
    </row>
    <row r="686" spans="1:9" x14ac:dyDescent="0.3">
      <c r="A686" s="13">
        <v>45976</v>
      </c>
      <c r="B686">
        <v>2025</v>
      </c>
      <c r="C686">
        <v>11</v>
      </c>
      <c r="D686" t="s">
        <v>11</v>
      </c>
      <c r="E686" t="s">
        <v>65</v>
      </c>
      <c r="F686" t="s">
        <v>115</v>
      </c>
      <c r="G686">
        <v>15</v>
      </c>
      <c r="H686" t="s">
        <v>117</v>
      </c>
      <c r="I686" s="13">
        <v>45991</v>
      </c>
    </row>
    <row r="687" spans="1:9" x14ac:dyDescent="0.3">
      <c r="A687" s="13">
        <v>45977</v>
      </c>
      <c r="B687">
        <v>2025</v>
      </c>
      <c r="C687">
        <v>11</v>
      </c>
      <c r="D687" t="s">
        <v>11</v>
      </c>
      <c r="E687" t="s">
        <v>65</v>
      </c>
      <c r="F687" t="s">
        <v>115</v>
      </c>
      <c r="G687">
        <v>16</v>
      </c>
      <c r="H687" t="s">
        <v>117</v>
      </c>
      <c r="I687" s="13">
        <v>45991</v>
      </c>
    </row>
    <row r="688" spans="1:9" x14ac:dyDescent="0.3">
      <c r="A688" s="13">
        <v>45978</v>
      </c>
      <c r="B688">
        <v>2025</v>
      </c>
      <c r="C688">
        <v>11</v>
      </c>
      <c r="D688" t="s">
        <v>11</v>
      </c>
      <c r="E688" t="s">
        <v>65</v>
      </c>
      <c r="F688" t="s">
        <v>115</v>
      </c>
      <c r="G688">
        <v>17</v>
      </c>
      <c r="H688" t="s">
        <v>117</v>
      </c>
      <c r="I688" s="13">
        <v>45991</v>
      </c>
    </row>
    <row r="689" spans="1:9" x14ac:dyDescent="0.3">
      <c r="A689" s="13">
        <v>45979</v>
      </c>
      <c r="B689">
        <v>2025</v>
      </c>
      <c r="C689">
        <v>11</v>
      </c>
      <c r="D689" t="s">
        <v>11</v>
      </c>
      <c r="E689" t="s">
        <v>65</v>
      </c>
      <c r="F689" t="s">
        <v>115</v>
      </c>
      <c r="G689">
        <v>18</v>
      </c>
      <c r="H689" t="s">
        <v>117</v>
      </c>
      <c r="I689" s="13">
        <v>45991</v>
      </c>
    </row>
    <row r="690" spans="1:9" x14ac:dyDescent="0.3">
      <c r="A690" s="13">
        <v>45980</v>
      </c>
      <c r="B690">
        <v>2025</v>
      </c>
      <c r="C690">
        <v>11</v>
      </c>
      <c r="D690" t="s">
        <v>11</v>
      </c>
      <c r="E690" t="s">
        <v>65</v>
      </c>
      <c r="F690" t="s">
        <v>115</v>
      </c>
      <c r="G690">
        <v>19</v>
      </c>
      <c r="H690" t="s">
        <v>117</v>
      </c>
      <c r="I690" s="13">
        <v>45991</v>
      </c>
    </row>
    <row r="691" spans="1:9" x14ac:dyDescent="0.3">
      <c r="A691" s="13">
        <v>45981</v>
      </c>
      <c r="B691">
        <v>2025</v>
      </c>
      <c r="C691">
        <v>11</v>
      </c>
      <c r="D691" t="s">
        <v>11</v>
      </c>
      <c r="E691" t="s">
        <v>65</v>
      </c>
      <c r="F691" t="s">
        <v>115</v>
      </c>
      <c r="G691">
        <v>20</v>
      </c>
      <c r="H691" t="s">
        <v>117</v>
      </c>
      <c r="I691" s="13">
        <v>45991</v>
      </c>
    </row>
    <row r="692" spans="1:9" x14ac:dyDescent="0.3">
      <c r="A692" s="13">
        <v>45982</v>
      </c>
      <c r="B692">
        <v>2025</v>
      </c>
      <c r="C692">
        <v>11</v>
      </c>
      <c r="D692" t="s">
        <v>11</v>
      </c>
      <c r="E692" t="s">
        <v>65</v>
      </c>
      <c r="F692" t="s">
        <v>115</v>
      </c>
      <c r="G692">
        <v>21</v>
      </c>
      <c r="H692" t="s">
        <v>117</v>
      </c>
      <c r="I692" s="13">
        <v>45991</v>
      </c>
    </row>
    <row r="693" spans="1:9" x14ac:dyDescent="0.3">
      <c r="A693" s="13">
        <v>45983</v>
      </c>
      <c r="B693">
        <v>2025</v>
      </c>
      <c r="C693">
        <v>11</v>
      </c>
      <c r="D693" t="s">
        <v>11</v>
      </c>
      <c r="E693" t="s">
        <v>65</v>
      </c>
      <c r="F693" t="s">
        <v>115</v>
      </c>
      <c r="G693">
        <v>22</v>
      </c>
      <c r="H693" t="s">
        <v>117</v>
      </c>
      <c r="I693" s="13">
        <v>45991</v>
      </c>
    </row>
    <row r="694" spans="1:9" x14ac:dyDescent="0.3">
      <c r="A694" s="13">
        <v>45984</v>
      </c>
      <c r="B694">
        <v>2025</v>
      </c>
      <c r="C694">
        <v>11</v>
      </c>
      <c r="D694" t="s">
        <v>11</v>
      </c>
      <c r="E694" t="s">
        <v>65</v>
      </c>
      <c r="F694" t="s">
        <v>115</v>
      </c>
      <c r="G694">
        <v>23</v>
      </c>
      <c r="H694" t="s">
        <v>117</v>
      </c>
      <c r="I694" s="13">
        <v>45991</v>
      </c>
    </row>
    <row r="695" spans="1:9" x14ac:dyDescent="0.3">
      <c r="A695" s="13">
        <v>45985</v>
      </c>
      <c r="B695">
        <v>2025</v>
      </c>
      <c r="C695">
        <v>11</v>
      </c>
      <c r="D695" t="s">
        <v>11</v>
      </c>
      <c r="E695" t="s">
        <v>65</v>
      </c>
      <c r="F695" t="s">
        <v>115</v>
      </c>
      <c r="G695">
        <v>24</v>
      </c>
      <c r="H695" t="s">
        <v>117</v>
      </c>
      <c r="I695" s="13">
        <v>45991</v>
      </c>
    </row>
    <row r="696" spans="1:9" x14ac:dyDescent="0.3">
      <c r="A696" s="13">
        <v>45986</v>
      </c>
      <c r="B696">
        <v>2025</v>
      </c>
      <c r="C696">
        <v>11</v>
      </c>
      <c r="D696" t="s">
        <v>11</v>
      </c>
      <c r="E696" t="s">
        <v>65</v>
      </c>
      <c r="F696" t="s">
        <v>115</v>
      </c>
      <c r="G696">
        <v>25</v>
      </c>
      <c r="H696" t="s">
        <v>117</v>
      </c>
      <c r="I696" s="13">
        <v>45991</v>
      </c>
    </row>
    <row r="697" spans="1:9" x14ac:dyDescent="0.3">
      <c r="A697" s="13">
        <v>45987</v>
      </c>
      <c r="B697">
        <v>2025</v>
      </c>
      <c r="C697">
        <v>11</v>
      </c>
      <c r="D697" t="s">
        <v>11</v>
      </c>
      <c r="E697" t="s">
        <v>65</v>
      </c>
      <c r="F697" t="s">
        <v>115</v>
      </c>
      <c r="G697">
        <v>26</v>
      </c>
      <c r="H697" t="s">
        <v>117</v>
      </c>
      <c r="I697" s="13">
        <v>45991</v>
      </c>
    </row>
    <row r="698" spans="1:9" x14ac:dyDescent="0.3">
      <c r="A698" s="13">
        <v>45988</v>
      </c>
      <c r="B698">
        <v>2025</v>
      </c>
      <c r="C698">
        <v>11</v>
      </c>
      <c r="D698" t="s">
        <v>11</v>
      </c>
      <c r="E698" t="s">
        <v>65</v>
      </c>
      <c r="F698" t="s">
        <v>115</v>
      </c>
      <c r="G698">
        <v>27</v>
      </c>
      <c r="H698" t="s">
        <v>117</v>
      </c>
      <c r="I698" s="13">
        <v>45991</v>
      </c>
    </row>
    <row r="699" spans="1:9" x14ac:dyDescent="0.3">
      <c r="A699" s="13">
        <v>45989</v>
      </c>
      <c r="B699">
        <v>2025</v>
      </c>
      <c r="C699">
        <v>11</v>
      </c>
      <c r="D699" t="s">
        <v>11</v>
      </c>
      <c r="E699" t="s">
        <v>65</v>
      </c>
      <c r="F699" t="s">
        <v>115</v>
      </c>
      <c r="G699">
        <v>28</v>
      </c>
      <c r="H699" t="s">
        <v>117</v>
      </c>
      <c r="I699" s="13">
        <v>45991</v>
      </c>
    </row>
    <row r="700" spans="1:9" x14ac:dyDescent="0.3">
      <c r="A700" s="13">
        <v>45990</v>
      </c>
      <c r="B700">
        <v>2025</v>
      </c>
      <c r="C700">
        <v>11</v>
      </c>
      <c r="D700" t="s">
        <v>11</v>
      </c>
      <c r="E700" t="s">
        <v>65</v>
      </c>
      <c r="F700" t="s">
        <v>115</v>
      </c>
      <c r="G700">
        <v>29</v>
      </c>
      <c r="H700" t="s">
        <v>117</v>
      </c>
      <c r="I700" s="13">
        <v>45991</v>
      </c>
    </row>
    <row r="701" spans="1:9" x14ac:dyDescent="0.3">
      <c r="A701" s="13">
        <v>45991</v>
      </c>
      <c r="B701">
        <v>2025</v>
      </c>
      <c r="C701">
        <v>11</v>
      </c>
      <c r="D701" t="s">
        <v>11</v>
      </c>
      <c r="E701" t="s">
        <v>65</v>
      </c>
      <c r="F701" t="s">
        <v>115</v>
      </c>
      <c r="G701">
        <v>30</v>
      </c>
      <c r="H701" t="s">
        <v>117</v>
      </c>
      <c r="I701" s="13">
        <v>45991</v>
      </c>
    </row>
    <row r="702" spans="1:9" x14ac:dyDescent="0.3">
      <c r="A702" s="13">
        <v>45992</v>
      </c>
      <c r="B702">
        <v>2025</v>
      </c>
      <c r="C702">
        <v>12</v>
      </c>
      <c r="D702" t="s">
        <v>12</v>
      </c>
      <c r="E702" t="s">
        <v>66</v>
      </c>
      <c r="F702" t="s">
        <v>115</v>
      </c>
      <c r="G702">
        <v>1</v>
      </c>
      <c r="H702" t="s">
        <v>118</v>
      </c>
      <c r="I702" s="13">
        <v>46022</v>
      </c>
    </row>
    <row r="703" spans="1:9" x14ac:dyDescent="0.3">
      <c r="A703" s="13">
        <v>45993</v>
      </c>
      <c r="B703">
        <v>2025</v>
      </c>
      <c r="C703">
        <v>12</v>
      </c>
      <c r="D703" t="s">
        <v>12</v>
      </c>
      <c r="E703" t="s">
        <v>66</v>
      </c>
      <c r="F703" t="s">
        <v>115</v>
      </c>
      <c r="G703">
        <v>2</v>
      </c>
      <c r="H703" t="s">
        <v>118</v>
      </c>
      <c r="I703" s="13">
        <v>46022</v>
      </c>
    </row>
    <row r="704" spans="1:9" x14ac:dyDescent="0.3">
      <c r="A704" s="13">
        <v>45994</v>
      </c>
      <c r="B704">
        <v>2025</v>
      </c>
      <c r="C704">
        <v>12</v>
      </c>
      <c r="D704" t="s">
        <v>12</v>
      </c>
      <c r="E704" t="s">
        <v>66</v>
      </c>
      <c r="F704" t="s">
        <v>115</v>
      </c>
      <c r="G704">
        <v>3</v>
      </c>
      <c r="H704" t="s">
        <v>118</v>
      </c>
      <c r="I704" s="13">
        <v>46022</v>
      </c>
    </row>
    <row r="705" spans="1:9" x14ac:dyDescent="0.3">
      <c r="A705" s="13">
        <v>45995</v>
      </c>
      <c r="B705">
        <v>2025</v>
      </c>
      <c r="C705">
        <v>12</v>
      </c>
      <c r="D705" t="s">
        <v>12</v>
      </c>
      <c r="E705" t="s">
        <v>66</v>
      </c>
      <c r="F705" t="s">
        <v>115</v>
      </c>
      <c r="G705">
        <v>4</v>
      </c>
      <c r="H705" t="s">
        <v>118</v>
      </c>
      <c r="I705" s="13">
        <v>46022</v>
      </c>
    </row>
    <row r="706" spans="1:9" x14ac:dyDescent="0.3">
      <c r="A706" s="13">
        <v>45996</v>
      </c>
      <c r="B706">
        <v>2025</v>
      </c>
      <c r="C706">
        <v>12</v>
      </c>
      <c r="D706" t="s">
        <v>12</v>
      </c>
      <c r="E706" t="s">
        <v>66</v>
      </c>
      <c r="F706" t="s">
        <v>115</v>
      </c>
      <c r="G706">
        <v>5</v>
      </c>
      <c r="H706" t="s">
        <v>118</v>
      </c>
      <c r="I706" s="13">
        <v>46022</v>
      </c>
    </row>
    <row r="707" spans="1:9" x14ac:dyDescent="0.3">
      <c r="A707" s="13">
        <v>45997</v>
      </c>
      <c r="B707">
        <v>2025</v>
      </c>
      <c r="C707">
        <v>12</v>
      </c>
      <c r="D707" t="s">
        <v>12</v>
      </c>
      <c r="E707" t="s">
        <v>66</v>
      </c>
      <c r="F707" t="s">
        <v>115</v>
      </c>
      <c r="G707">
        <v>6</v>
      </c>
      <c r="H707" t="s">
        <v>118</v>
      </c>
      <c r="I707" s="13">
        <v>46022</v>
      </c>
    </row>
    <row r="708" spans="1:9" x14ac:dyDescent="0.3">
      <c r="A708" s="13">
        <v>45998</v>
      </c>
      <c r="B708">
        <v>2025</v>
      </c>
      <c r="C708">
        <v>12</v>
      </c>
      <c r="D708" t="s">
        <v>12</v>
      </c>
      <c r="E708" t="s">
        <v>66</v>
      </c>
      <c r="F708" t="s">
        <v>115</v>
      </c>
      <c r="G708">
        <v>7</v>
      </c>
      <c r="H708" t="s">
        <v>118</v>
      </c>
      <c r="I708" s="13">
        <v>46022</v>
      </c>
    </row>
    <row r="709" spans="1:9" x14ac:dyDescent="0.3">
      <c r="A709" s="13">
        <v>45999</v>
      </c>
      <c r="B709">
        <v>2025</v>
      </c>
      <c r="C709">
        <v>12</v>
      </c>
      <c r="D709" t="s">
        <v>12</v>
      </c>
      <c r="E709" t="s">
        <v>66</v>
      </c>
      <c r="F709" t="s">
        <v>115</v>
      </c>
      <c r="G709">
        <v>8</v>
      </c>
      <c r="H709" t="s">
        <v>118</v>
      </c>
      <c r="I709" s="13">
        <v>46022</v>
      </c>
    </row>
    <row r="710" spans="1:9" x14ac:dyDescent="0.3">
      <c r="A710" s="13">
        <v>46000</v>
      </c>
      <c r="B710">
        <v>2025</v>
      </c>
      <c r="C710">
        <v>12</v>
      </c>
      <c r="D710" t="s">
        <v>12</v>
      </c>
      <c r="E710" t="s">
        <v>66</v>
      </c>
      <c r="F710" t="s">
        <v>115</v>
      </c>
      <c r="G710">
        <v>9</v>
      </c>
      <c r="H710" t="s">
        <v>118</v>
      </c>
      <c r="I710" s="13">
        <v>46022</v>
      </c>
    </row>
    <row r="711" spans="1:9" x14ac:dyDescent="0.3">
      <c r="A711" s="13">
        <v>46001</v>
      </c>
      <c r="B711">
        <v>2025</v>
      </c>
      <c r="C711">
        <v>12</v>
      </c>
      <c r="D711" t="s">
        <v>12</v>
      </c>
      <c r="E711" t="s">
        <v>66</v>
      </c>
      <c r="F711" t="s">
        <v>115</v>
      </c>
      <c r="G711">
        <v>10</v>
      </c>
      <c r="H711" t="s">
        <v>118</v>
      </c>
      <c r="I711" s="13">
        <v>46022</v>
      </c>
    </row>
    <row r="712" spans="1:9" x14ac:dyDescent="0.3">
      <c r="A712" s="13">
        <v>46002</v>
      </c>
      <c r="B712">
        <v>2025</v>
      </c>
      <c r="C712">
        <v>12</v>
      </c>
      <c r="D712" t="s">
        <v>12</v>
      </c>
      <c r="E712" t="s">
        <v>66</v>
      </c>
      <c r="F712" t="s">
        <v>115</v>
      </c>
      <c r="G712">
        <v>11</v>
      </c>
      <c r="H712" t="s">
        <v>118</v>
      </c>
      <c r="I712" s="13">
        <v>46022</v>
      </c>
    </row>
    <row r="713" spans="1:9" x14ac:dyDescent="0.3">
      <c r="A713" s="13">
        <v>46003</v>
      </c>
      <c r="B713">
        <v>2025</v>
      </c>
      <c r="C713">
        <v>12</v>
      </c>
      <c r="D713" t="s">
        <v>12</v>
      </c>
      <c r="E713" t="s">
        <v>66</v>
      </c>
      <c r="F713" t="s">
        <v>115</v>
      </c>
      <c r="G713">
        <v>12</v>
      </c>
      <c r="H713" t="s">
        <v>118</v>
      </c>
      <c r="I713" s="13">
        <v>46022</v>
      </c>
    </row>
    <row r="714" spans="1:9" x14ac:dyDescent="0.3">
      <c r="A714" s="13">
        <v>46004</v>
      </c>
      <c r="B714">
        <v>2025</v>
      </c>
      <c r="C714">
        <v>12</v>
      </c>
      <c r="D714" t="s">
        <v>12</v>
      </c>
      <c r="E714" t="s">
        <v>66</v>
      </c>
      <c r="F714" t="s">
        <v>115</v>
      </c>
      <c r="G714">
        <v>13</v>
      </c>
      <c r="H714" t="s">
        <v>118</v>
      </c>
      <c r="I714" s="13">
        <v>46022</v>
      </c>
    </row>
    <row r="715" spans="1:9" x14ac:dyDescent="0.3">
      <c r="A715" s="13">
        <v>46005</v>
      </c>
      <c r="B715">
        <v>2025</v>
      </c>
      <c r="C715">
        <v>12</v>
      </c>
      <c r="D715" t="s">
        <v>12</v>
      </c>
      <c r="E715" t="s">
        <v>66</v>
      </c>
      <c r="F715" t="s">
        <v>115</v>
      </c>
      <c r="G715">
        <v>14</v>
      </c>
      <c r="H715" t="s">
        <v>118</v>
      </c>
      <c r="I715" s="13">
        <v>46022</v>
      </c>
    </row>
    <row r="716" spans="1:9" x14ac:dyDescent="0.3">
      <c r="A716" s="13">
        <v>46006</v>
      </c>
      <c r="B716">
        <v>2025</v>
      </c>
      <c r="C716">
        <v>12</v>
      </c>
      <c r="D716" t="s">
        <v>12</v>
      </c>
      <c r="E716" t="s">
        <v>66</v>
      </c>
      <c r="F716" t="s">
        <v>115</v>
      </c>
      <c r="G716">
        <v>15</v>
      </c>
      <c r="H716" t="s">
        <v>118</v>
      </c>
      <c r="I716" s="13">
        <v>46022</v>
      </c>
    </row>
    <row r="717" spans="1:9" x14ac:dyDescent="0.3">
      <c r="A717" s="13">
        <v>46007</v>
      </c>
      <c r="B717">
        <v>2025</v>
      </c>
      <c r="C717">
        <v>12</v>
      </c>
      <c r="D717" t="s">
        <v>12</v>
      </c>
      <c r="E717" t="s">
        <v>66</v>
      </c>
      <c r="F717" t="s">
        <v>115</v>
      </c>
      <c r="G717">
        <v>16</v>
      </c>
      <c r="H717" t="s">
        <v>118</v>
      </c>
      <c r="I717" s="13">
        <v>46022</v>
      </c>
    </row>
    <row r="718" spans="1:9" x14ac:dyDescent="0.3">
      <c r="A718" s="13">
        <v>46008</v>
      </c>
      <c r="B718">
        <v>2025</v>
      </c>
      <c r="C718">
        <v>12</v>
      </c>
      <c r="D718" t="s">
        <v>12</v>
      </c>
      <c r="E718" t="s">
        <v>66</v>
      </c>
      <c r="F718" t="s">
        <v>115</v>
      </c>
      <c r="G718">
        <v>17</v>
      </c>
      <c r="H718" t="s">
        <v>118</v>
      </c>
      <c r="I718" s="13">
        <v>46022</v>
      </c>
    </row>
    <row r="719" spans="1:9" x14ac:dyDescent="0.3">
      <c r="A719" s="13">
        <v>46009</v>
      </c>
      <c r="B719">
        <v>2025</v>
      </c>
      <c r="C719">
        <v>12</v>
      </c>
      <c r="D719" t="s">
        <v>12</v>
      </c>
      <c r="E719" t="s">
        <v>66</v>
      </c>
      <c r="F719" t="s">
        <v>115</v>
      </c>
      <c r="G719">
        <v>18</v>
      </c>
      <c r="H719" t="s">
        <v>118</v>
      </c>
      <c r="I719" s="13">
        <v>46022</v>
      </c>
    </row>
    <row r="720" spans="1:9" x14ac:dyDescent="0.3">
      <c r="A720" s="13">
        <v>46010</v>
      </c>
      <c r="B720">
        <v>2025</v>
      </c>
      <c r="C720">
        <v>12</v>
      </c>
      <c r="D720" t="s">
        <v>12</v>
      </c>
      <c r="E720" t="s">
        <v>66</v>
      </c>
      <c r="F720" t="s">
        <v>115</v>
      </c>
      <c r="G720">
        <v>19</v>
      </c>
      <c r="H720" t="s">
        <v>118</v>
      </c>
      <c r="I720" s="13">
        <v>46022</v>
      </c>
    </row>
    <row r="721" spans="1:9" x14ac:dyDescent="0.3">
      <c r="A721" s="13">
        <v>46011</v>
      </c>
      <c r="B721">
        <v>2025</v>
      </c>
      <c r="C721">
        <v>12</v>
      </c>
      <c r="D721" t="s">
        <v>12</v>
      </c>
      <c r="E721" t="s">
        <v>66</v>
      </c>
      <c r="F721" t="s">
        <v>115</v>
      </c>
      <c r="G721">
        <v>20</v>
      </c>
      <c r="H721" t="s">
        <v>118</v>
      </c>
      <c r="I721" s="13">
        <v>46022</v>
      </c>
    </row>
    <row r="722" spans="1:9" x14ac:dyDescent="0.3">
      <c r="A722" s="13">
        <v>46012</v>
      </c>
      <c r="B722">
        <v>2025</v>
      </c>
      <c r="C722">
        <v>12</v>
      </c>
      <c r="D722" t="s">
        <v>12</v>
      </c>
      <c r="E722" t="s">
        <v>66</v>
      </c>
      <c r="F722" t="s">
        <v>115</v>
      </c>
      <c r="G722">
        <v>21</v>
      </c>
      <c r="H722" t="s">
        <v>118</v>
      </c>
      <c r="I722" s="13">
        <v>46022</v>
      </c>
    </row>
    <row r="723" spans="1:9" x14ac:dyDescent="0.3">
      <c r="A723" s="13">
        <v>46013</v>
      </c>
      <c r="B723">
        <v>2025</v>
      </c>
      <c r="C723">
        <v>12</v>
      </c>
      <c r="D723" t="s">
        <v>12</v>
      </c>
      <c r="E723" t="s">
        <v>66</v>
      </c>
      <c r="F723" t="s">
        <v>115</v>
      </c>
      <c r="G723">
        <v>22</v>
      </c>
      <c r="H723" t="s">
        <v>118</v>
      </c>
      <c r="I723" s="13">
        <v>46022</v>
      </c>
    </row>
    <row r="724" spans="1:9" x14ac:dyDescent="0.3">
      <c r="A724" s="13">
        <v>46014</v>
      </c>
      <c r="B724">
        <v>2025</v>
      </c>
      <c r="C724">
        <v>12</v>
      </c>
      <c r="D724" t="s">
        <v>12</v>
      </c>
      <c r="E724" t="s">
        <v>66</v>
      </c>
      <c r="F724" t="s">
        <v>115</v>
      </c>
      <c r="G724">
        <v>23</v>
      </c>
      <c r="H724" t="s">
        <v>118</v>
      </c>
      <c r="I724" s="13">
        <v>46022</v>
      </c>
    </row>
    <row r="725" spans="1:9" x14ac:dyDescent="0.3">
      <c r="A725" s="13">
        <v>46015</v>
      </c>
      <c r="B725">
        <v>2025</v>
      </c>
      <c r="C725">
        <v>12</v>
      </c>
      <c r="D725" t="s">
        <v>12</v>
      </c>
      <c r="E725" t="s">
        <v>66</v>
      </c>
      <c r="F725" t="s">
        <v>115</v>
      </c>
      <c r="G725">
        <v>24</v>
      </c>
      <c r="H725" t="s">
        <v>118</v>
      </c>
      <c r="I725" s="13">
        <v>46022</v>
      </c>
    </row>
    <row r="726" spans="1:9" x14ac:dyDescent="0.3">
      <c r="A726" s="13">
        <v>46016</v>
      </c>
      <c r="B726">
        <v>2025</v>
      </c>
      <c r="C726">
        <v>12</v>
      </c>
      <c r="D726" t="s">
        <v>12</v>
      </c>
      <c r="E726" t="s">
        <v>66</v>
      </c>
      <c r="F726" t="s">
        <v>115</v>
      </c>
      <c r="G726">
        <v>25</v>
      </c>
      <c r="H726" t="s">
        <v>118</v>
      </c>
      <c r="I726" s="13">
        <v>46022</v>
      </c>
    </row>
    <row r="727" spans="1:9" x14ac:dyDescent="0.3">
      <c r="A727" s="13">
        <v>46017</v>
      </c>
      <c r="B727">
        <v>2025</v>
      </c>
      <c r="C727">
        <v>12</v>
      </c>
      <c r="D727" t="s">
        <v>12</v>
      </c>
      <c r="E727" t="s">
        <v>66</v>
      </c>
      <c r="F727" t="s">
        <v>115</v>
      </c>
      <c r="G727">
        <v>26</v>
      </c>
      <c r="H727" t="s">
        <v>118</v>
      </c>
      <c r="I727" s="13">
        <v>46022</v>
      </c>
    </row>
    <row r="728" spans="1:9" x14ac:dyDescent="0.3">
      <c r="A728" s="13">
        <v>46018</v>
      </c>
      <c r="B728">
        <v>2025</v>
      </c>
      <c r="C728">
        <v>12</v>
      </c>
      <c r="D728" t="s">
        <v>12</v>
      </c>
      <c r="E728" t="s">
        <v>66</v>
      </c>
      <c r="F728" t="s">
        <v>115</v>
      </c>
      <c r="G728">
        <v>27</v>
      </c>
      <c r="H728" t="s">
        <v>118</v>
      </c>
      <c r="I728" s="13">
        <v>46022</v>
      </c>
    </row>
    <row r="729" spans="1:9" x14ac:dyDescent="0.3">
      <c r="A729" s="13">
        <v>46019</v>
      </c>
      <c r="B729">
        <v>2025</v>
      </c>
      <c r="C729">
        <v>12</v>
      </c>
      <c r="D729" t="s">
        <v>12</v>
      </c>
      <c r="E729" t="s">
        <v>66</v>
      </c>
      <c r="F729" t="s">
        <v>115</v>
      </c>
      <c r="G729">
        <v>28</v>
      </c>
      <c r="H729" t="s">
        <v>118</v>
      </c>
      <c r="I729" s="13">
        <v>46022</v>
      </c>
    </row>
    <row r="730" spans="1:9" x14ac:dyDescent="0.3">
      <c r="A730" s="13">
        <v>46020</v>
      </c>
      <c r="B730">
        <v>2025</v>
      </c>
      <c r="C730">
        <v>12</v>
      </c>
      <c r="D730" t="s">
        <v>12</v>
      </c>
      <c r="E730" t="s">
        <v>66</v>
      </c>
      <c r="F730" t="s">
        <v>115</v>
      </c>
      <c r="G730">
        <v>29</v>
      </c>
      <c r="H730" t="s">
        <v>118</v>
      </c>
      <c r="I730" s="13">
        <v>46022</v>
      </c>
    </row>
    <row r="731" spans="1:9" x14ac:dyDescent="0.3">
      <c r="A731" s="13">
        <v>46021</v>
      </c>
      <c r="B731">
        <v>2025</v>
      </c>
      <c r="C731">
        <v>12</v>
      </c>
      <c r="D731" t="s">
        <v>12</v>
      </c>
      <c r="E731" t="s">
        <v>66</v>
      </c>
      <c r="F731" t="s">
        <v>115</v>
      </c>
      <c r="G731">
        <v>30</v>
      </c>
      <c r="H731" t="s">
        <v>118</v>
      </c>
      <c r="I731" s="13">
        <v>46022</v>
      </c>
    </row>
    <row r="732" spans="1:9" x14ac:dyDescent="0.3">
      <c r="A732" s="13">
        <v>46022</v>
      </c>
      <c r="B732">
        <v>2025</v>
      </c>
      <c r="C732">
        <v>12</v>
      </c>
      <c r="D732" t="s">
        <v>12</v>
      </c>
      <c r="E732" t="s">
        <v>66</v>
      </c>
      <c r="F732" t="s">
        <v>115</v>
      </c>
      <c r="G732">
        <v>31</v>
      </c>
      <c r="H732" t="s">
        <v>118</v>
      </c>
      <c r="I732" s="13">
        <v>46022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90D8-A3C9-40E9-B41D-25CD03186F23}">
  <sheetPr>
    <tabColor rgb="FF7030A0"/>
  </sheetPr>
  <dimension ref="A1:E31"/>
  <sheetViews>
    <sheetView workbookViewId="0">
      <selection activeCell="J22" sqref="J22:J32"/>
    </sheetView>
  </sheetViews>
  <sheetFormatPr defaultRowHeight="14.4" x14ac:dyDescent="0.3"/>
  <cols>
    <col min="1" max="1" width="11" bestFit="1" customWidth="1"/>
    <col min="2" max="2" width="18.44140625" bestFit="1" customWidth="1"/>
    <col min="3" max="3" width="10.44140625" bestFit="1" customWidth="1"/>
    <col min="4" max="4" width="28.5546875" bestFit="1" customWidth="1"/>
    <col min="5" max="5" width="50.44140625" bestFit="1" customWidth="1"/>
    <col min="6" max="6" width="25" bestFit="1" customWidth="1"/>
  </cols>
  <sheetData>
    <row r="1" spans="1:5" x14ac:dyDescent="0.3">
      <c r="A1" t="s">
        <v>0</v>
      </c>
      <c r="B1" t="s">
        <v>85</v>
      </c>
      <c r="C1" t="s">
        <v>86</v>
      </c>
      <c r="D1" t="s">
        <v>28</v>
      </c>
      <c r="E1" t="s">
        <v>119</v>
      </c>
    </row>
    <row r="2" spans="1:5" x14ac:dyDescent="0.3">
      <c r="A2">
        <v>2003100005</v>
      </c>
      <c r="B2" t="s">
        <v>87</v>
      </c>
      <c r="D2" t="s">
        <v>37</v>
      </c>
      <c r="E2" t="s">
        <v>120</v>
      </c>
    </row>
    <row r="3" spans="1:5" x14ac:dyDescent="0.3">
      <c r="A3">
        <v>2003100006</v>
      </c>
      <c r="B3" t="s">
        <v>87</v>
      </c>
      <c r="D3" t="s">
        <v>38</v>
      </c>
      <c r="E3" t="s">
        <v>121</v>
      </c>
    </row>
    <row r="4" spans="1:5" x14ac:dyDescent="0.3">
      <c r="A4">
        <v>2003100007</v>
      </c>
      <c r="B4" t="s">
        <v>87</v>
      </c>
      <c r="D4" t="s">
        <v>39</v>
      </c>
      <c r="E4" t="s">
        <v>122</v>
      </c>
    </row>
    <row r="5" spans="1:5" x14ac:dyDescent="0.3">
      <c r="A5">
        <v>2211200001</v>
      </c>
      <c r="B5" t="s">
        <v>88</v>
      </c>
      <c r="D5" t="s">
        <v>40</v>
      </c>
      <c r="E5" t="s">
        <v>123</v>
      </c>
    </row>
    <row r="6" spans="1:5" x14ac:dyDescent="0.3">
      <c r="A6">
        <v>2211200002</v>
      </c>
      <c r="B6" t="s">
        <v>88</v>
      </c>
      <c r="D6" t="s">
        <v>41</v>
      </c>
      <c r="E6" t="s">
        <v>124</v>
      </c>
    </row>
    <row r="7" spans="1:5" x14ac:dyDescent="0.3">
      <c r="A7">
        <v>2211200003</v>
      </c>
      <c r="B7" t="s">
        <v>88</v>
      </c>
      <c r="D7" t="s">
        <v>42</v>
      </c>
      <c r="E7" t="s">
        <v>125</v>
      </c>
    </row>
    <row r="8" spans="1:5" x14ac:dyDescent="0.3">
      <c r="A8">
        <v>2201201000</v>
      </c>
      <c r="B8" t="s">
        <v>88</v>
      </c>
      <c r="D8" t="s">
        <v>43</v>
      </c>
      <c r="E8" t="s">
        <v>126</v>
      </c>
    </row>
    <row r="9" spans="1:5" x14ac:dyDescent="0.3">
      <c r="A9">
        <v>2690200007</v>
      </c>
      <c r="B9" t="s">
        <v>90</v>
      </c>
      <c r="C9" t="s">
        <v>25</v>
      </c>
      <c r="D9" t="s">
        <v>29</v>
      </c>
      <c r="E9" t="s">
        <v>127</v>
      </c>
    </row>
    <row r="10" spans="1:5" x14ac:dyDescent="0.3">
      <c r="A10">
        <v>2690200010</v>
      </c>
      <c r="B10" t="s">
        <v>90</v>
      </c>
      <c r="C10" t="s">
        <v>25</v>
      </c>
      <c r="D10" t="s">
        <v>53</v>
      </c>
      <c r="E10" t="s">
        <v>128</v>
      </c>
    </row>
    <row r="11" spans="1:5" x14ac:dyDescent="0.3">
      <c r="A11">
        <v>2532300000</v>
      </c>
      <c r="B11" t="s">
        <v>90</v>
      </c>
      <c r="C11" t="s">
        <v>26</v>
      </c>
      <c r="D11" t="s">
        <v>26</v>
      </c>
      <c r="E11" t="s">
        <v>129</v>
      </c>
    </row>
    <row r="12" spans="1:5" x14ac:dyDescent="0.3">
      <c r="A12">
        <v>2530200000</v>
      </c>
      <c r="B12" t="s">
        <v>90</v>
      </c>
      <c r="C12" t="s">
        <v>27</v>
      </c>
      <c r="D12" t="s">
        <v>52</v>
      </c>
      <c r="E12" t="s">
        <v>130</v>
      </c>
    </row>
    <row r="13" spans="1:5" x14ac:dyDescent="0.3">
      <c r="A13">
        <v>2530300000</v>
      </c>
      <c r="B13" t="s">
        <v>90</v>
      </c>
      <c r="C13" t="s">
        <v>27</v>
      </c>
      <c r="D13" t="s">
        <v>54</v>
      </c>
      <c r="E13" t="s">
        <v>131</v>
      </c>
    </row>
    <row r="14" spans="1:5" x14ac:dyDescent="0.3">
      <c r="A14">
        <v>2400210100</v>
      </c>
      <c r="B14" t="s">
        <v>91</v>
      </c>
      <c r="C14" t="s">
        <v>18</v>
      </c>
      <c r="D14" t="s">
        <v>48</v>
      </c>
      <c r="E14" t="s">
        <v>132</v>
      </c>
    </row>
    <row r="15" spans="1:5" x14ac:dyDescent="0.3">
      <c r="A15">
        <v>2400210200</v>
      </c>
      <c r="B15" t="s">
        <v>91</v>
      </c>
      <c r="C15" t="s">
        <v>18</v>
      </c>
      <c r="D15" t="s">
        <v>30</v>
      </c>
      <c r="E15" t="s">
        <v>133</v>
      </c>
    </row>
    <row r="16" spans="1:5" x14ac:dyDescent="0.3">
      <c r="A16">
        <v>2400210120</v>
      </c>
      <c r="B16" t="s">
        <v>91</v>
      </c>
      <c r="C16" t="s">
        <v>18</v>
      </c>
      <c r="D16" t="s">
        <v>31</v>
      </c>
      <c r="E16" t="s">
        <v>134</v>
      </c>
    </row>
    <row r="17" spans="1:5" x14ac:dyDescent="0.3">
      <c r="A17">
        <v>2546100100</v>
      </c>
      <c r="B17" t="s">
        <v>91</v>
      </c>
      <c r="C17" t="s">
        <v>17</v>
      </c>
      <c r="D17" t="s">
        <v>32</v>
      </c>
      <c r="E17" t="s">
        <v>135</v>
      </c>
    </row>
    <row r="18" spans="1:5" x14ac:dyDescent="0.3">
      <c r="A18">
        <v>2544601400</v>
      </c>
      <c r="B18" t="s">
        <v>91</v>
      </c>
      <c r="C18" t="s">
        <v>17</v>
      </c>
      <c r="D18" t="s">
        <v>33</v>
      </c>
      <c r="E18" t="s">
        <v>136</v>
      </c>
    </row>
    <row r="19" spans="1:5" x14ac:dyDescent="0.3">
      <c r="A19">
        <v>2544600140</v>
      </c>
      <c r="B19" t="s">
        <v>91</v>
      </c>
      <c r="C19" t="s">
        <v>17</v>
      </c>
      <c r="D19" t="s">
        <v>34</v>
      </c>
      <c r="E19" t="s">
        <v>137</v>
      </c>
    </row>
    <row r="20" spans="1:5" x14ac:dyDescent="0.3">
      <c r="A20">
        <v>2544600120</v>
      </c>
      <c r="B20" t="s">
        <v>91</v>
      </c>
      <c r="C20" t="s">
        <v>17</v>
      </c>
      <c r="D20" t="s">
        <v>35</v>
      </c>
      <c r="E20" t="s">
        <v>138</v>
      </c>
    </row>
    <row r="21" spans="1:5" x14ac:dyDescent="0.3">
      <c r="A21">
        <v>2544600170</v>
      </c>
      <c r="B21" t="s">
        <v>91</v>
      </c>
      <c r="C21" t="s">
        <v>17</v>
      </c>
      <c r="D21" t="s">
        <v>36</v>
      </c>
      <c r="E21" t="s">
        <v>139</v>
      </c>
    </row>
    <row r="22" spans="1:5" x14ac:dyDescent="0.3">
      <c r="A22">
        <v>2561400000</v>
      </c>
      <c r="B22" t="s">
        <v>91</v>
      </c>
      <c r="C22" t="s">
        <v>19</v>
      </c>
      <c r="D22" t="s">
        <v>19</v>
      </c>
      <c r="E22" t="s">
        <v>140</v>
      </c>
    </row>
    <row r="23" spans="1:5" x14ac:dyDescent="0.3">
      <c r="A23">
        <v>2627300000</v>
      </c>
      <c r="B23" t="s">
        <v>91</v>
      </c>
      <c r="C23" t="s">
        <v>22</v>
      </c>
      <c r="D23" t="s">
        <v>49</v>
      </c>
      <c r="E23" t="s">
        <v>141</v>
      </c>
    </row>
    <row r="24" spans="1:5" x14ac:dyDescent="0.3">
      <c r="A24">
        <v>2627100000</v>
      </c>
      <c r="B24" t="s">
        <v>91</v>
      </c>
      <c r="C24" t="s">
        <v>22</v>
      </c>
      <c r="D24" t="s">
        <v>47</v>
      </c>
      <c r="E24" t="s">
        <v>142</v>
      </c>
    </row>
    <row r="25" spans="1:5" x14ac:dyDescent="0.3">
      <c r="A25">
        <v>2601100200</v>
      </c>
      <c r="B25" t="s">
        <v>91</v>
      </c>
      <c r="C25" t="s">
        <v>21</v>
      </c>
      <c r="D25" t="s">
        <v>21</v>
      </c>
      <c r="E25" t="s">
        <v>143</v>
      </c>
    </row>
    <row r="26" spans="1:5" x14ac:dyDescent="0.3">
      <c r="A26">
        <v>2633100000</v>
      </c>
      <c r="B26" t="s">
        <v>91</v>
      </c>
      <c r="C26" t="s">
        <v>20</v>
      </c>
      <c r="D26" t="s">
        <v>44</v>
      </c>
      <c r="E26" t="s">
        <v>144</v>
      </c>
    </row>
    <row r="27" spans="1:5" x14ac:dyDescent="0.3">
      <c r="A27">
        <v>2633600000</v>
      </c>
      <c r="B27" t="s">
        <v>91</v>
      </c>
      <c r="C27" t="s">
        <v>20</v>
      </c>
      <c r="D27" t="s">
        <v>45</v>
      </c>
      <c r="E27" t="s">
        <v>145</v>
      </c>
    </row>
    <row r="28" spans="1:5" x14ac:dyDescent="0.3">
      <c r="A28">
        <v>2616100000</v>
      </c>
      <c r="B28" t="s">
        <v>91</v>
      </c>
      <c r="C28" t="s">
        <v>20</v>
      </c>
      <c r="D28" t="s">
        <v>46</v>
      </c>
      <c r="E28" t="s">
        <v>146</v>
      </c>
    </row>
    <row r="29" spans="1:5" x14ac:dyDescent="0.3">
      <c r="B29" t="s">
        <v>89</v>
      </c>
      <c r="E29" t="s">
        <v>89</v>
      </c>
    </row>
    <row r="30" spans="1:5" x14ac:dyDescent="0.3">
      <c r="B30" t="s">
        <v>93</v>
      </c>
      <c r="E30" t="s">
        <v>93</v>
      </c>
    </row>
    <row r="31" spans="1:5" x14ac:dyDescent="0.3">
      <c r="B31" t="s">
        <v>92</v>
      </c>
      <c r="E31" t="s">
        <v>92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A3E6-E9A9-4C47-9D4C-BB4547051631}">
  <sheetPr>
    <tabColor rgb="FF7030A0"/>
  </sheetPr>
  <dimension ref="A1:G1027"/>
  <sheetViews>
    <sheetView workbookViewId="0">
      <selection activeCell="J22" sqref="J22:J32"/>
    </sheetView>
  </sheetViews>
  <sheetFormatPr defaultRowHeight="14.4" x14ac:dyDescent="0.3"/>
  <cols>
    <col min="1" max="1" width="11" bestFit="1" customWidth="1"/>
    <col min="2" max="2" width="28.5546875" bestFit="1" customWidth="1"/>
    <col min="3" max="3" width="18.44140625" bestFit="1" customWidth="1"/>
    <col min="4" max="4" width="10.44140625" bestFit="1" customWidth="1"/>
    <col min="5" max="5" width="10.109375" bestFit="1" customWidth="1"/>
    <col min="6" max="6" width="12.6640625" bestFit="1" customWidth="1"/>
    <col min="7" max="7" width="50.44140625" bestFit="1" customWidth="1"/>
  </cols>
  <sheetData>
    <row r="1" spans="1:7" x14ac:dyDescent="0.3">
      <c r="A1" t="s">
        <v>0</v>
      </c>
      <c r="B1" t="s">
        <v>28</v>
      </c>
      <c r="C1" t="s">
        <v>85</v>
      </c>
      <c r="D1" t="s">
        <v>86</v>
      </c>
      <c r="E1" t="s">
        <v>94</v>
      </c>
      <c r="F1" t="s">
        <v>95</v>
      </c>
      <c r="G1" t="s">
        <v>119</v>
      </c>
    </row>
    <row r="2" spans="1:7" x14ac:dyDescent="0.3">
      <c r="A2">
        <v>2003100005</v>
      </c>
      <c r="B2" t="s">
        <v>37</v>
      </c>
      <c r="C2" t="s">
        <v>87</v>
      </c>
      <c r="E2" s="13">
        <v>45292</v>
      </c>
      <c r="F2">
        <v>15253265.183500798</v>
      </c>
      <c r="G2" t="s">
        <v>120</v>
      </c>
    </row>
    <row r="3" spans="1:7" x14ac:dyDescent="0.3">
      <c r="A3">
        <v>2003100005</v>
      </c>
      <c r="B3" t="s">
        <v>37</v>
      </c>
      <c r="C3" t="s">
        <v>87</v>
      </c>
      <c r="E3" s="13">
        <v>45323</v>
      </c>
      <c r="F3">
        <v>21088785.627172202</v>
      </c>
      <c r="G3" t="s">
        <v>120</v>
      </c>
    </row>
    <row r="4" spans="1:7" x14ac:dyDescent="0.3">
      <c r="A4">
        <v>2003100005</v>
      </c>
      <c r="B4" t="s">
        <v>37</v>
      </c>
      <c r="C4" t="s">
        <v>87</v>
      </c>
      <c r="E4" s="13">
        <v>45352</v>
      </c>
      <c r="F4">
        <v>28741335.630000003</v>
      </c>
      <c r="G4" t="s">
        <v>120</v>
      </c>
    </row>
    <row r="5" spans="1:7" x14ac:dyDescent="0.3">
      <c r="A5">
        <v>2003100005</v>
      </c>
      <c r="B5" t="s">
        <v>37</v>
      </c>
      <c r="C5" t="s">
        <v>87</v>
      </c>
      <c r="E5" s="13">
        <v>45383</v>
      </c>
      <c r="F5">
        <v>26580932.569999997</v>
      </c>
      <c r="G5" t="s">
        <v>120</v>
      </c>
    </row>
    <row r="6" spans="1:7" x14ac:dyDescent="0.3">
      <c r="A6">
        <v>2003100005</v>
      </c>
      <c r="B6" t="s">
        <v>37</v>
      </c>
      <c r="C6" t="s">
        <v>87</v>
      </c>
      <c r="E6" s="13">
        <v>45413</v>
      </c>
      <c r="F6">
        <v>23988357.32</v>
      </c>
      <c r="G6" t="s">
        <v>120</v>
      </c>
    </row>
    <row r="7" spans="1:7" x14ac:dyDescent="0.3">
      <c r="A7">
        <v>2003100005</v>
      </c>
      <c r="B7" t="s">
        <v>37</v>
      </c>
      <c r="C7" t="s">
        <v>87</v>
      </c>
      <c r="E7" s="13">
        <v>45444</v>
      </c>
      <c r="F7">
        <v>19024409.09</v>
      </c>
      <c r="G7" t="s">
        <v>120</v>
      </c>
    </row>
    <row r="8" spans="1:7" x14ac:dyDescent="0.3">
      <c r="A8">
        <v>2003100005</v>
      </c>
      <c r="B8" t="s">
        <v>37</v>
      </c>
      <c r="C8" t="s">
        <v>87</v>
      </c>
      <c r="E8" s="13">
        <v>45474</v>
      </c>
      <c r="F8">
        <v>14219294.350000001</v>
      </c>
      <c r="G8" t="s">
        <v>120</v>
      </c>
    </row>
    <row r="9" spans="1:7" x14ac:dyDescent="0.3">
      <c r="A9">
        <v>2003100005</v>
      </c>
      <c r="B9" t="s">
        <v>37</v>
      </c>
      <c r="C9" t="s">
        <v>87</v>
      </c>
      <c r="E9" s="13">
        <v>45505</v>
      </c>
      <c r="F9">
        <v>17479568.300000001</v>
      </c>
      <c r="G9" t="s">
        <v>120</v>
      </c>
    </row>
    <row r="10" spans="1:7" x14ac:dyDescent="0.3">
      <c r="A10">
        <v>2003100005</v>
      </c>
      <c r="B10" t="s">
        <v>37</v>
      </c>
      <c r="C10" t="s">
        <v>87</v>
      </c>
      <c r="E10" s="13">
        <v>45536</v>
      </c>
      <c r="F10">
        <v>30454508.600000001</v>
      </c>
      <c r="G10" t="s">
        <v>120</v>
      </c>
    </row>
    <row r="11" spans="1:7" x14ac:dyDescent="0.3">
      <c r="A11">
        <v>2003100005</v>
      </c>
      <c r="B11" t="s">
        <v>37</v>
      </c>
      <c r="C11" t="s">
        <v>87</v>
      </c>
      <c r="E11" s="13">
        <v>45566</v>
      </c>
      <c r="F11">
        <v>27409176.349999998</v>
      </c>
      <c r="G11" t="s">
        <v>120</v>
      </c>
    </row>
    <row r="12" spans="1:7" x14ac:dyDescent="0.3">
      <c r="A12">
        <v>2003100005</v>
      </c>
      <c r="B12" t="s">
        <v>37</v>
      </c>
      <c r="C12" t="s">
        <v>87</v>
      </c>
      <c r="E12" s="13">
        <v>45597</v>
      </c>
      <c r="F12">
        <v>29731107.890000001</v>
      </c>
      <c r="G12" t="s">
        <v>120</v>
      </c>
    </row>
    <row r="13" spans="1:7" x14ac:dyDescent="0.3">
      <c r="A13">
        <v>2003100005</v>
      </c>
      <c r="B13" t="s">
        <v>37</v>
      </c>
      <c r="C13" t="s">
        <v>87</v>
      </c>
      <c r="E13" s="13">
        <v>45627</v>
      </c>
      <c r="F13">
        <v>28260518.369999997</v>
      </c>
      <c r="G13" t="s">
        <v>120</v>
      </c>
    </row>
    <row r="14" spans="1:7" x14ac:dyDescent="0.3">
      <c r="A14">
        <v>2003100005</v>
      </c>
      <c r="B14" t="s">
        <v>37</v>
      </c>
      <c r="C14" t="s">
        <v>87</v>
      </c>
      <c r="E14" s="13">
        <v>45658</v>
      </c>
      <c r="F14">
        <v>0</v>
      </c>
      <c r="G14" t="s">
        <v>120</v>
      </c>
    </row>
    <row r="15" spans="1:7" x14ac:dyDescent="0.3">
      <c r="A15">
        <v>2003100005</v>
      </c>
      <c r="B15" t="s">
        <v>37</v>
      </c>
      <c r="C15" t="s">
        <v>87</v>
      </c>
      <c r="E15" s="13">
        <v>45689</v>
      </c>
      <c r="F15">
        <v>0</v>
      </c>
      <c r="G15" t="s">
        <v>120</v>
      </c>
    </row>
    <row r="16" spans="1:7" x14ac:dyDescent="0.3">
      <c r="A16">
        <v>2003100005</v>
      </c>
      <c r="B16" t="s">
        <v>37</v>
      </c>
      <c r="C16" t="s">
        <v>87</v>
      </c>
      <c r="E16" s="13">
        <v>45717</v>
      </c>
      <c r="F16">
        <v>0</v>
      </c>
      <c r="G16" t="s">
        <v>120</v>
      </c>
    </row>
    <row r="17" spans="1:7" x14ac:dyDescent="0.3">
      <c r="A17">
        <v>2003100005</v>
      </c>
      <c r="B17" t="s">
        <v>37</v>
      </c>
      <c r="C17" t="s">
        <v>87</v>
      </c>
      <c r="E17" s="13">
        <v>45748</v>
      </c>
      <c r="F17">
        <v>0</v>
      </c>
      <c r="G17" t="s">
        <v>120</v>
      </c>
    </row>
    <row r="18" spans="1:7" x14ac:dyDescent="0.3">
      <c r="A18">
        <v>2003100005</v>
      </c>
      <c r="B18" t="s">
        <v>37</v>
      </c>
      <c r="C18" t="s">
        <v>87</v>
      </c>
      <c r="E18" s="13">
        <v>45778</v>
      </c>
      <c r="F18">
        <v>0</v>
      </c>
      <c r="G18" t="s">
        <v>120</v>
      </c>
    </row>
    <row r="19" spans="1:7" x14ac:dyDescent="0.3">
      <c r="A19">
        <v>2003100005</v>
      </c>
      <c r="B19" t="s">
        <v>37</v>
      </c>
      <c r="C19" t="s">
        <v>87</v>
      </c>
      <c r="E19" s="13">
        <v>45809</v>
      </c>
      <c r="F19">
        <v>0</v>
      </c>
      <c r="G19" t="s">
        <v>120</v>
      </c>
    </row>
    <row r="20" spans="1:7" x14ac:dyDescent="0.3">
      <c r="A20">
        <v>2003100006</v>
      </c>
      <c r="B20" t="s">
        <v>38</v>
      </c>
      <c r="C20" t="s">
        <v>87</v>
      </c>
      <c r="E20" s="13">
        <v>45292</v>
      </c>
      <c r="F20">
        <v>1147673.5472020002</v>
      </c>
      <c r="G20" t="s">
        <v>121</v>
      </c>
    </row>
    <row r="21" spans="1:7" x14ac:dyDescent="0.3">
      <c r="A21">
        <v>2003100006</v>
      </c>
      <c r="B21" t="s">
        <v>38</v>
      </c>
      <c r="C21" t="s">
        <v>87</v>
      </c>
      <c r="E21" s="13">
        <v>45323</v>
      </c>
      <c r="F21">
        <v>1358569.75037</v>
      </c>
      <c r="G21" t="s">
        <v>121</v>
      </c>
    </row>
    <row r="22" spans="1:7" x14ac:dyDescent="0.3">
      <c r="A22">
        <v>2003100006</v>
      </c>
      <c r="B22" t="s">
        <v>38</v>
      </c>
      <c r="C22" t="s">
        <v>87</v>
      </c>
      <c r="E22" s="13">
        <v>45352</v>
      </c>
      <c r="F22">
        <v>1865549.31</v>
      </c>
      <c r="G22" t="s">
        <v>121</v>
      </c>
    </row>
    <row r="23" spans="1:7" x14ac:dyDescent="0.3">
      <c r="A23">
        <v>2003100006</v>
      </c>
      <c r="B23" t="s">
        <v>38</v>
      </c>
      <c r="C23" t="s">
        <v>87</v>
      </c>
      <c r="E23" s="13">
        <v>45383</v>
      </c>
      <c r="F23">
        <v>1798306.99</v>
      </c>
      <c r="G23" t="s">
        <v>121</v>
      </c>
    </row>
    <row r="24" spans="1:7" x14ac:dyDescent="0.3">
      <c r="A24">
        <v>2003100006</v>
      </c>
      <c r="B24" t="s">
        <v>38</v>
      </c>
      <c r="C24" t="s">
        <v>87</v>
      </c>
      <c r="E24" s="13">
        <v>45413</v>
      </c>
      <c r="F24">
        <v>1442012.0299999998</v>
      </c>
      <c r="G24" t="s">
        <v>121</v>
      </c>
    </row>
    <row r="25" spans="1:7" x14ac:dyDescent="0.3">
      <c r="A25">
        <v>2003100006</v>
      </c>
      <c r="B25" t="s">
        <v>38</v>
      </c>
      <c r="C25" t="s">
        <v>87</v>
      </c>
      <c r="E25" s="13">
        <v>45444</v>
      </c>
      <c r="F25">
        <v>1276426.21</v>
      </c>
      <c r="G25" t="s">
        <v>121</v>
      </c>
    </row>
    <row r="26" spans="1:7" x14ac:dyDescent="0.3">
      <c r="A26">
        <v>2003100006</v>
      </c>
      <c r="B26" t="s">
        <v>38</v>
      </c>
      <c r="C26" t="s">
        <v>87</v>
      </c>
      <c r="E26" s="13">
        <v>45474</v>
      </c>
      <c r="F26">
        <v>924149.82000000007</v>
      </c>
      <c r="G26" t="s">
        <v>121</v>
      </c>
    </row>
    <row r="27" spans="1:7" x14ac:dyDescent="0.3">
      <c r="A27">
        <v>2003100006</v>
      </c>
      <c r="B27" t="s">
        <v>38</v>
      </c>
      <c r="C27" t="s">
        <v>87</v>
      </c>
      <c r="E27" s="13">
        <v>45505</v>
      </c>
      <c r="F27">
        <v>1275012.28</v>
      </c>
      <c r="G27" t="s">
        <v>121</v>
      </c>
    </row>
    <row r="28" spans="1:7" x14ac:dyDescent="0.3">
      <c r="A28">
        <v>2003100006</v>
      </c>
      <c r="B28" t="s">
        <v>38</v>
      </c>
      <c r="C28" t="s">
        <v>87</v>
      </c>
      <c r="E28" s="13">
        <v>45536</v>
      </c>
      <c r="F28">
        <v>1870121.79</v>
      </c>
      <c r="G28" t="s">
        <v>121</v>
      </c>
    </row>
    <row r="29" spans="1:7" x14ac:dyDescent="0.3">
      <c r="A29">
        <v>2003100006</v>
      </c>
      <c r="B29" t="s">
        <v>38</v>
      </c>
      <c r="C29" t="s">
        <v>87</v>
      </c>
      <c r="E29" s="13">
        <v>45566</v>
      </c>
      <c r="F29">
        <v>1872141.15</v>
      </c>
      <c r="G29" t="s">
        <v>121</v>
      </c>
    </row>
    <row r="30" spans="1:7" x14ac:dyDescent="0.3">
      <c r="A30">
        <v>2003100006</v>
      </c>
      <c r="B30" t="s">
        <v>38</v>
      </c>
      <c r="C30" t="s">
        <v>87</v>
      </c>
      <c r="E30" s="13">
        <v>45597</v>
      </c>
      <c r="F30">
        <v>2161137.13</v>
      </c>
      <c r="G30" t="s">
        <v>121</v>
      </c>
    </row>
    <row r="31" spans="1:7" x14ac:dyDescent="0.3">
      <c r="A31">
        <v>2003100006</v>
      </c>
      <c r="B31" t="s">
        <v>38</v>
      </c>
      <c r="C31" t="s">
        <v>87</v>
      </c>
      <c r="E31" s="13">
        <v>45627</v>
      </c>
      <c r="F31">
        <v>1688403.08</v>
      </c>
      <c r="G31" t="s">
        <v>121</v>
      </c>
    </row>
    <row r="32" spans="1:7" x14ac:dyDescent="0.3">
      <c r="A32">
        <v>2003100006</v>
      </c>
      <c r="B32" t="s">
        <v>38</v>
      </c>
      <c r="C32" t="s">
        <v>87</v>
      </c>
      <c r="E32" s="13">
        <v>45658</v>
      </c>
      <c r="F32">
        <v>0</v>
      </c>
      <c r="G32" t="s">
        <v>121</v>
      </c>
    </row>
    <row r="33" spans="1:7" x14ac:dyDescent="0.3">
      <c r="A33">
        <v>2003100006</v>
      </c>
      <c r="B33" t="s">
        <v>38</v>
      </c>
      <c r="C33" t="s">
        <v>87</v>
      </c>
      <c r="E33" s="13">
        <v>45689</v>
      </c>
      <c r="F33">
        <v>0</v>
      </c>
      <c r="G33" t="s">
        <v>121</v>
      </c>
    </row>
    <row r="34" spans="1:7" x14ac:dyDescent="0.3">
      <c r="A34">
        <v>2003100006</v>
      </c>
      <c r="B34" t="s">
        <v>38</v>
      </c>
      <c r="C34" t="s">
        <v>87</v>
      </c>
      <c r="E34" s="13">
        <v>45717</v>
      </c>
      <c r="F34">
        <v>0</v>
      </c>
      <c r="G34" t="s">
        <v>121</v>
      </c>
    </row>
    <row r="35" spans="1:7" x14ac:dyDescent="0.3">
      <c r="A35">
        <v>2003100006</v>
      </c>
      <c r="B35" t="s">
        <v>38</v>
      </c>
      <c r="C35" t="s">
        <v>87</v>
      </c>
      <c r="E35" s="13">
        <v>45748</v>
      </c>
      <c r="F35">
        <v>0</v>
      </c>
      <c r="G35" t="s">
        <v>121</v>
      </c>
    </row>
    <row r="36" spans="1:7" x14ac:dyDescent="0.3">
      <c r="A36">
        <v>2003100006</v>
      </c>
      <c r="B36" t="s">
        <v>38</v>
      </c>
      <c r="C36" t="s">
        <v>87</v>
      </c>
      <c r="E36" s="13">
        <v>45778</v>
      </c>
      <c r="F36">
        <v>0</v>
      </c>
      <c r="G36" t="s">
        <v>121</v>
      </c>
    </row>
    <row r="37" spans="1:7" x14ac:dyDescent="0.3">
      <c r="A37">
        <v>2003100006</v>
      </c>
      <c r="B37" t="s">
        <v>38</v>
      </c>
      <c r="C37" t="s">
        <v>87</v>
      </c>
      <c r="E37" s="13">
        <v>45809</v>
      </c>
      <c r="F37">
        <v>0</v>
      </c>
      <c r="G37" t="s">
        <v>121</v>
      </c>
    </row>
    <row r="38" spans="1:7" x14ac:dyDescent="0.3">
      <c r="A38">
        <v>2003100007</v>
      </c>
      <c r="B38" t="s">
        <v>39</v>
      </c>
      <c r="C38" t="s">
        <v>87</v>
      </c>
      <c r="E38" s="13">
        <v>45292</v>
      </c>
      <c r="F38">
        <v>1501984.7344124001</v>
      </c>
      <c r="G38" t="s">
        <v>122</v>
      </c>
    </row>
    <row r="39" spans="1:7" x14ac:dyDescent="0.3">
      <c r="A39">
        <v>2003100007</v>
      </c>
      <c r="B39" t="s">
        <v>39</v>
      </c>
      <c r="C39" t="s">
        <v>87</v>
      </c>
      <c r="E39" s="13">
        <v>45323</v>
      </c>
      <c r="F39">
        <v>1151264.0289695999</v>
      </c>
      <c r="G39" t="s">
        <v>122</v>
      </c>
    </row>
    <row r="40" spans="1:7" x14ac:dyDescent="0.3">
      <c r="A40">
        <v>2003100007</v>
      </c>
      <c r="B40" t="s">
        <v>39</v>
      </c>
      <c r="C40" t="s">
        <v>87</v>
      </c>
      <c r="E40" s="13">
        <v>45352</v>
      </c>
      <c r="F40">
        <v>1470333.47</v>
      </c>
      <c r="G40" t="s">
        <v>122</v>
      </c>
    </row>
    <row r="41" spans="1:7" x14ac:dyDescent="0.3">
      <c r="A41">
        <v>2003100007</v>
      </c>
      <c r="B41" t="s">
        <v>39</v>
      </c>
      <c r="C41" t="s">
        <v>87</v>
      </c>
      <c r="E41" s="13">
        <v>45383</v>
      </c>
      <c r="F41">
        <v>1628563.6500000001</v>
      </c>
      <c r="G41" t="s">
        <v>122</v>
      </c>
    </row>
    <row r="42" spans="1:7" x14ac:dyDescent="0.3">
      <c r="A42">
        <v>2003100007</v>
      </c>
      <c r="B42" t="s">
        <v>39</v>
      </c>
      <c r="C42" t="s">
        <v>87</v>
      </c>
      <c r="E42" s="13">
        <v>45413</v>
      </c>
      <c r="F42">
        <v>1562604.23</v>
      </c>
      <c r="G42" t="s">
        <v>122</v>
      </c>
    </row>
    <row r="43" spans="1:7" x14ac:dyDescent="0.3">
      <c r="A43">
        <v>2003100007</v>
      </c>
      <c r="B43" t="s">
        <v>39</v>
      </c>
      <c r="C43" t="s">
        <v>87</v>
      </c>
      <c r="E43" s="13">
        <v>45444</v>
      </c>
      <c r="F43">
        <v>1485195.23</v>
      </c>
      <c r="G43" t="s">
        <v>122</v>
      </c>
    </row>
    <row r="44" spans="1:7" x14ac:dyDescent="0.3">
      <c r="A44">
        <v>2003100007</v>
      </c>
      <c r="B44" t="s">
        <v>39</v>
      </c>
      <c r="C44" t="s">
        <v>87</v>
      </c>
      <c r="E44" s="13">
        <v>45474</v>
      </c>
      <c r="F44">
        <v>1131820.5599999998</v>
      </c>
      <c r="G44" t="s">
        <v>122</v>
      </c>
    </row>
    <row r="45" spans="1:7" x14ac:dyDescent="0.3">
      <c r="A45">
        <v>2003100007</v>
      </c>
      <c r="B45" t="s">
        <v>39</v>
      </c>
      <c r="C45" t="s">
        <v>87</v>
      </c>
      <c r="E45" s="13">
        <v>45505</v>
      </c>
      <c r="F45">
        <v>821780.29</v>
      </c>
      <c r="G45" t="s">
        <v>122</v>
      </c>
    </row>
    <row r="46" spans="1:7" x14ac:dyDescent="0.3">
      <c r="A46">
        <v>2003100007</v>
      </c>
      <c r="B46" t="s">
        <v>39</v>
      </c>
      <c r="C46" t="s">
        <v>87</v>
      </c>
      <c r="E46" s="13">
        <v>45536</v>
      </c>
      <c r="F46">
        <v>1303688.0299999998</v>
      </c>
      <c r="G46" t="s">
        <v>122</v>
      </c>
    </row>
    <row r="47" spans="1:7" x14ac:dyDescent="0.3">
      <c r="A47">
        <v>2003100007</v>
      </c>
      <c r="B47" t="s">
        <v>39</v>
      </c>
      <c r="C47" t="s">
        <v>87</v>
      </c>
      <c r="E47" s="13">
        <v>45566</v>
      </c>
      <c r="F47">
        <v>1535434.2</v>
      </c>
      <c r="G47" t="s">
        <v>122</v>
      </c>
    </row>
    <row r="48" spans="1:7" x14ac:dyDescent="0.3">
      <c r="A48">
        <v>2003100007</v>
      </c>
      <c r="B48" t="s">
        <v>39</v>
      </c>
      <c r="C48" t="s">
        <v>87</v>
      </c>
      <c r="E48" s="13">
        <v>45597</v>
      </c>
      <c r="F48">
        <v>1544790.7000000002</v>
      </c>
      <c r="G48" t="s">
        <v>122</v>
      </c>
    </row>
    <row r="49" spans="1:7" x14ac:dyDescent="0.3">
      <c r="A49">
        <v>2003100007</v>
      </c>
      <c r="B49" t="s">
        <v>39</v>
      </c>
      <c r="C49" t="s">
        <v>87</v>
      </c>
      <c r="E49" s="13">
        <v>45627</v>
      </c>
      <c r="F49">
        <v>1497762.41</v>
      </c>
      <c r="G49" t="s">
        <v>122</v>
      </c>
    </row>
    <row r="50" spans="1:7" x14ac:dyDescent="0.3">
      <c r="A50">
        <v>2003100007</v>
      </c>
      <c r="B50" t="s">
        <v>39</v>
      </c>
      <c r="C50" t="s">
        <v>87</v>
      </c>
      <c r="E50" s="13">
        <v>45658</v>
      </c>
      <c r="F50">
        <v>0</v>
      </c>
      <c r="G50" t="s">
        <v>122</v>
      </c>
    </row>
    <row r="51" spans="1:7" x14ac:dyDescent="0.3">
      <c r="A51">
        <v>2003100007</v>
      </c>
      <c r="B51" t="s">
        <v>39</v>
      </c>
      <c r="C51" t="s">
        <v>87</v>
      </c>
      <c r="E51" s="13">
        <v>45689</v>
      </c>
      <c r="F51">
        <v>0</v>
      </c>
      <c r="G51" t="s">
        <v>122</v>
      </c>
    </row>
    <row r="52" spans="1:7" x14ac:dyDescent="0.3">
      <c r="A52">
        <v>2003100007</v>
      </c>
      <c r="B52" t="s">
        <v>39</v>
      </c>
      <c r="C52" t="s">
        <v>87</v>
      </c>
      <c r="E52" s="13">
        <v>45717</v>
      </c>
      <c r="F52">
        <v>0</v>
      </c>
      <c r="G52" t="s">
        <v>122</v>
      </c>
    </row>
    <row r="53" spans="1:7" x14ac:dyDescent="0.3">
      <c r="A53">
        <v>2003100007</v>
      </c>
      <c r="B53" t="s">
        <v>39</v>
      </c>
      <c r="C53" t="s">
        <v>87</v>
      </c>
      <c r="E53" s="13">
        <v>45748</v>
      </c>
      <c r="F53">
        <v>0</v>
      </c>
      <c r="G53" t="s">
        <v>122</v>
      </c>
    </row>
    <row r="54" spans="1:7" x14ac:dyDescent="0.3">
      <c r="A54">
        <v>2003100007</v>
      </c>
      <c r="B54" t="s">
        <v>39</v>
      </c>
      <c r="C54" t="s">
        <v>87</v>
      </c>
      <c r="E54" s="13">
        <v>45778</v>
      </c>
      <c r="F54">
        <v>0</v>
      </c>
      <c r="G54" t="s">
        <v>122</v>
      </c>
    </row>
    <row r="55" spans="1:7" x14ac:dyDescent="0.3">
      <c r="A55">
        <v>2003100007</v>
      </c>
      <c r="B55" t="s">
        <v>39</v>
      </c>
      <c r="C55" t="s">
        <v>87</v>
      </c>
      <c r="E55" s="13">
        <v>45809</v>
      </c>
      <c r="F55">
        <v>0</v>
      </c>
      <c r="G55" t="s">
        <v>122</v>
      </c>
    </row>
    <row r="56" spans="1:7" x14ac:dyDescent="0.3">
      <c r="A56">
        <v>2211200001</v>
      </c>
      <c r="B56" t="s">
        <v>40</v>
      </c>
      <c r="C56" t="s">
        <v>88</v>
      </c>
      <c r="E56" s="13">
        <v>45292</v>
      </c>
      <c r="F56">
        <v>9336788.7345072292</v>
      </c>
      <c r="G56" t="s">
        <v>123</v>
      </c>
    </row>
    <row r="57" spans="1:7" x14ac:dyDescent="0.3">
      <c r="A57">
        <v>2211200001</v>
      </c>
      <c r="B57" t="s">
        <v>40</v>
      </c>
      <c r="C57" t="s">
        <v>88</v>
      </c>
      <c r="E57" s="13">
        <v>45323</v>
      </c>
      <c r="F57">
        <v>12888477.307886399</v>
      </c>
      <c r="G57" t="s">
        <v>123</v>
      </c>
    </row>
    <row r="58" spans="1:7" x14ac:dyDescent="0.3">
      <c r="A58">
        <v>2211200001</v>
      </c>
      <c r="B58" t="s">
        <v>40</v>
      </c>
      <c r="C58" t="s">
        <v>88</v>
      </c>
      <c r="E58" s="13">
        <v>45352</v>
      </c>
      <c r="F58">
        <v>17560389.519540399</v>
      </c>
      <c r="G58" t="s">
        <v>123</v>
      </c>
    </row>
    <row r="59" spans="1:7" x14ac:dyDescent="0.3">
      <c r="A59">
        <v>2211200001</v>
      </c>
      <c r="B59" t="s">
        <v>40</v>
      </c>
      <c r="C59" t="s">
        <v>88</v>
      </c>
      <c r="E59" s="13">
        <v>45383</v>
      </c>
      <c r="F59">
        <v>16154015.0347334</v>
      </c>
      <c r="G59" t="s">
        <v>123</v>
      </c>
    </row>
    <row r="60" spans="1:7" x14ac:dyDescent="0.3">
      <c r="A60">
        <v>2211200001</v>
      </c>
      <c r="B60" t="s">
        <v>40</v>
      </c>
      <c r="C60" t="s">
        <v>88</v>
      </c>
      <c r="E60" s="13">
        <v>45413</v>
      </c>
      <c r="F60">
        <v>14572287.713533901</v>
      </c>
      <c r="G60" t="s">
        <v>123</v>
      </c>
    </row>
    <row r="61" spans="1:7" x14ac:dyDescent="0.3">
      <c r="A61">
        <v>2211200001</v>
      </c>
      <c r="B61" t="s">
        <v>40</v>
      </c>
      <c r="C61" t="s">
        <v>88</v>
      </c>
      <c r="E61" s="13">
        <v>45444</v>
      </c>
      <c r="F61">
        <v>11649164.578395</v>
      </c>
      <c r="G61" t="s">
        <v>123</v>
      </c>
    </row>
    <row r="62" spans="1:7" x14ac:dyDescent="0.3">
      <c r="A62">
        <v>2211200001</v>
      </c>
      <c r="B62" t="s">
        <v>40</v>
      </c>
      <c r="C62" t="s">
        <v>88</v>
      </c>
      <c r="E62" s="13">
        <v>45474</v>
      </c>
      <c r="F62">
        <v>8686540.3381481897</v>
      </c>
      <c r="G62" t="s">
        <v>123</v>
      </c>
    </row>
    <row r="63" spans="1:7" x14ac:dyDescent="0.3">
      <c r="A63">
        <v>2211200001</v>
      </c>
      <c r="B63" t="s">
        <v>40</v>
      </c>
      <c r="C63" t="s">
        <v>88</v>
      </c>
      <c r="E63" s="13">
        <v>45505</v>
      </c>
      <c r="F63">
        <v>10685746.351340899</v>
      </c>
      <c r="G63" t="s">
        <v>123</v>
      </c>
    </row>
    <row r="64" spans="1:7" x14ac:dyDescent="0.3">
      <c r="A64">
        <v>2211200001</v>
      </c>
      <c r="B64" t="s">
        <v>40</v>
      </c>
      <c r="C64" t="s">
        <v>88</v>
      </c>
      <c r="E64" s="13">
        <v>45536</v>
      </c>
      <c r="F64">
        <v>18480801.116032299</v>
      </c>
      <c r="G64" t="s">
        <v>123</v>
      </c>
    </row>
    <row r="65" spans="1:7" x14ac:dyDescent="0.3">
      <c r="A65">
        <v>2211200001</v>
      </c>
      <c r="B65" t="s">
        <v>40</v>
      </c>
      <c r="C65" t="s">
        <v>88</v>
      </c>
      <c r="E65" s="13">
        <v>45566</v>
      </c>
      <c r="F65">
        <v>16614971.9790882</v>
      </c>
      <c r="G65" t="s">
        <v>123</v>
      </c>
    </row>
    <row r="66" spans="1:7" x14ac:dyDescent="0.3">
      <c r="A66">
        <v>2211200001</v>
      </c>
      <c r="B66" t="s">
        <v>40</v>
      </c>
      <c r="C66" t="s">
        <v>88</v>
      </c>
      <c r="E66" s="13">
        <v>45597</v>
      </c>
      <c r="F66">
        <v>18080349.897248201</v>
      </c>
      <c r="G66" t="s">
        <v>123</v>
      </c>
    </row>
    <row r="67" spans="1:7" x14ac:dyDescent="0.3">
      <c r="A67">
        <v>2211200001</v>
      </c>
      <c r="B67" t="s">
        <v>40</v>
      </c>
      <c r="C67" t="s">
        <v>88</v>
      </c>
      <c r="E67" s="13">
        <v>45627</v>
      </c>
      <c r="F67">
        <v>17253623.790924098</v>
      </c>
      <c r="G67" t="s">
        <v>123</v>
      </c>
    </row>
    <row r="68" spans="1:7" x14ac:dyDescent="0.3">
      <c r="A68">
        <v>2211200001</v>
      </c>
      <c r="B68" t="s">
        <v>40</v>
      </c>
      <c r="C68" t="s">
        <v>88</v>
      </c>
      <c r="E68" s="13">
        <v>45658</v>
      </c>
      <c r="F68">
        <v>0</v>
      </c>
      <c r="G68" t="s">
        <v>123</v>
      </c>
    </row>
    <row r="69" spans="1:7" x14ac:dyDescent="0.3">
      <c r="A69">
        <v>2211200001</v>
      </c>
      <c r="B69" t="s">
        <v>40</v>
      </c>
      <c r="C69" t="s">
        <v>88</v>
      </c>
      <c r="E69" s="13">
        <v>45689</v>
      </c>
      <c r="F69">
        <v>0</v>
      </c>
      <c r="G69" t="s">
        <v>123</v>
      </c>
    </row>
    <row r="70" spans="1:7" x14ac:dyDescent="0.3">
      <c r="A70">
        <v>2211200001</v>
      </c>
      <c r="B70" t="s">
        <v>40</v>
      </c>
      <c r="C70" t="s">
        <v>88</v>
      </c>
      <c r="E70" s="13">
        <v>45717</v>
      </c>
      <c r="F70">
        <v>0</v>
      </c>
      <c r="G70" t="s">
        <v>123</v>
      </c>
    </row>
    <row r="71" spans="1:7" x14ac:dyDescent="0.3">
      <c r="A71">
        <v>2211200001</v>
      </c>
      <c r="B71" t="s">
        <v>40</v>
      </c>
      <c r="C71" t="s">
        <v>88</v>
      </c>
      <c r="E71" s="13">
        <v>45748</v>
      </c>
      <c r="F71">
        <v>0</v>
      </c>
      <c r="G71" t="s">
        <v>123</v>
      </c>
    </row>
    <row r="72" spans="1:7" x14ac:dyDescent="0.3">
      <c r="A72">
        <v>2211200001</v>
      </c>
      <c r="B72" t="s">
        <v>40</v>
      </c>
      <c r="C72" t="s">
        <v>88</v>
      </c>
      <c r="E72" s="13">
        <v>45778</v>
      </c>
      <c r="F72">
        <v>0</v>
      </c>
      <c r="G72" t="s">
        <v>123</v>
      </c>
    </row>
    <row r="73" spans="1:7" x14ac:dyDescent="0.3">
      <c r="A73">
        <v>2211200001</v>
      </c>
      <c r="B73" t="s">
        <v>40</v>
      </c>
      <c r="C73" t="s">
        <v>88</v>
      </c>
      <c r="E73" s="13">
        <v>45809</v>
      </c>
      <c r="F73">
        <v>0</v>
      </c>
      <c r="G73" t="s">
        <v>123</v>
      </c>
    </row>
    <row r="74" spans="1:7" x14ac:dyDescent="0.3">
      <c r="A74">
        <v>2211200002</v>
      </c>
      <c r="B74" t="s">
        <v>41</v>
      </c>
      <c r="C74" t="s">
        <v>88</v>
      </c>
      <c r="E74" s="13">
        <v>45292</v>
      </c>
      <c r="F74">
        <v>723645.014940041</v>
      </c>
      <c r="G74" t="s">
        <v>124</v>
      </c>
    </row>
    <row r="75" spans="1:7" x14ac:dyDescent="0.3">
      <c r="A75">
        <v>2211200002</v>
      </c>
      <c r="B75" t="s">
        <v>41</v>
      </c>
      <c r="C75" t="s">
        <v>88</v>
      </c>
      <c r="E75" s="13">
        <v>45323</v>
      </c>
      <c r="F75">
        <v>851880.08741245605</v>
      </c>
      <c r="G75" t="s">
        <v>124</v>
      </c>
    </row>
    <row r="76" spans="1:7" x14ac:dyDescent="0.3">
      <c r="A76">
        <v>2211200002</v>
      </c>
      <c r="B76" t="s">
        <v>41</v>
      </c>
      <c r="C76" t="s">
        <v>88</v>
      </c>
      <c r="E76" s="13">
        <v>45352</v>
      </c>
      <c r="F76">
        <v>1172064.43630361</v>
      </c>
      <c r="G76" t="s">
        <v>124</v>
      </c>
    </row>
    <row r="77" spans="1:7" x14ac:dyDescent="0.3">
      <c r="A77">
        <v>2211200002</v>
      </c>
      <c r="B77" t="s">
        <v>41</v>
      </c>
      <c r="C77" t="s">
        <v>88</v>
      </c>
      <c r="E77" s="13">
        <v>45383</v>
      </c>
      <c r="F77">
        <v>1119928.4824158801</v>
      </c>
      <c r="G77" t="s">
        <v>124</v>
      </c>
    </row>
    <row r="78" spans="1:7" x14ac:dyDescent="0.3">
      <c r="A78">
        <v>2211200002</v>
      </c>
      <c r="B78" t="s">
        <v>41</v>
      </c>
      <c r="C78" t="s">
        <v>88</v>
      </c>
      <c r="E78" s="13">
        <v>45413</v>
      </c>
      <c r="F78">
        <v>903671.53664551198</v>
      </c>
      <c r="G78" t="s">
        <v>124</v>
      </c>
    </row>
    <row r="79" spans="1:7" x14ac:dyDescent="0.3">
      <c r="A79">
        <v>2211200002</v>
      </c>
      <c r="B79" t="s">
        <v>41</v>
      </c>
      <c r="C79" t="s">
        <v>88</v>
      </c>
      <c r="E79" s="13">
        <v>45444</v>
      </c>
      <c r="F79">
        <v>811095.82859009795</v>
      </c>
      <c r="G79" t="s">
        <v>124</v>
      </c>
    </row>
    <row r="80" spans="1:7" x14ac:dyDescent="0.3">
      <c r="A80">
        <v>2211200002</v>
      </c>
      <c r="B80" t="s">
        <v>41</v>
      </c>
      <c r="C80" t="s">
        <v>88</v>
      </c>
      <c r="E80" s="13">
        <v>45474</v>
      </c>
      <c r="F80">
        <v>590189.53394671704</v>
      </c>
      <c r="G80" t="s">
        <v>124</v>
      </c>
    </row>
    <row r="81" spans="1:7" x14ac:dyDescent="0.3">
      <c r="A81">
        <v>2211200002</v>
      </c>
      <c r="B81" t="s">
        <v>41</v>
      </c>
      <c r="C81" t="s">
        <v>88</v>
      </c>
      <c r="E81" s="13">
        <v>45505</v>
      </c>
      <c r="F81">
        <v>805823.524102828</v>
      </c>
      <c r="G81" t="s">
        <v>124</v>
      </c>
    </row>
    <row r="82" spans="1:7" x14ac:dyDescent="0.3">
      <c r="A82">
        <v>2211200002</v>
      </c>
      <c r="B82" t="s">
        <v>41</v>
      </c>
      <c r="C82" t="s">
        <v>88</v>
      </c>
      <c r="E82" s="13">
        <v>45536</v>
      </c>
      <c r="F82">
        <v>1178510.99154193</v>
      </c>
      <c r="G82" t="s">
        <v>124</v>
      </c>
    </row>
    <row r="83" spans="1:7" x14ac:dyDescent="0.3">
      <c r="A83">
        <v>2211200002</v>
      </c>
      <c r="B83" t="s">
        <v>41</v>
      </c>
      <c r="C83" t="s">
        <v>88</v>
      </c>
      <c r="E83" s="13">
        <v>45566</v>
      </c>
      <c r="F83">
        <v>1166665.5965778399</v>
      </c>
      <c r="G83" t="s">
        <v>124</v>
      </c>
    </row>
    <row r="84" spans="1:7" x14ac:dyDescent="0.3">
      <c r="A84">
        <v>2211200002</v>
      </c>
      <c r="B84" t="s">
        <v>41</v>
      </c>
      <c r="C84" t="s">
        <v>88</v>
      </c>
      <c r="E84" s="13">
        <v>45597</v>
      </c>
      <c r="F84">
        <v>1349251.9580933701</v>
      </c>
      <c r="G84" t="s">
        <v>124</v>
      </c>
    </row>
    <row r="85" spans="1:7" x14ac:dyDescent="0.3">
      <c r="A85">
        <v>2211200002</v>
      </c>
      <c r="B85" t="s">
        <v>41</v>
      </c>
      <c r="C85" t="s">
        <v>88</v>
      </c>
      <c r="E85" s="13">
        <v>45627</v>
      </c>
      <c r="F85">
        <v>1055502.7897308101</v>
      </c>
      <c r="G85" t="s">
        <v>124</v>
      </c>
    </row>
    <row r="86" spans="1:7" x14ac:dyDescent="0.3">
      <c r="A86">
        <v>2211200002</v>
      </c>
      <c r="B86" t="s">
        <v>41</v>
      </c>
      <c r="C86" t="s">
        <v>88</v>
      </c>
      <c r="E86" s="13">
        <v>45658</v>
      </c>
      <c r="F86">
        <v>0</v>
      </c>
      <c r="G86" t="s">
        <v>124</v>
      </c>
    </row>
    <row r="87" spans="1:7" x14ac:dyDescent="0.3">
      <c r="A87">
        <v>2211200002</v>
      </c>
      <c r="B87" t="s">
        <v>41</v>
      </c>
      <c r="C87" t="s">
        <v>88</v>
      </c>
      <c r="E87" s="13">
        <v>45689</v>
      </c>
      <c r="F87">
        <v>0</v>
      </c>
      <c r="G87" t="s">
        <v>124</v>
      </c>
    </row>
    <row r="88" spans="1:7" x14ac:dyDescent="0.3">
      <c r="A88">
        <v>2211200002</v>
      </c>
      <c r="B88" t="s">
        <v>41</v>
      </c>
      <c r="C88" t="s">
        <v>88</v>
      </c>
      <c r="E88" s="13">
        <v>45717</v>
      </c>
      <c r="F88">
        <v>0</v>
      </c>
      <c r="G88" t="s">
        <v>124</v>
      </c>
    </row>
    <row r="89" spans="1:7" x14ac:dyDescent="0.3">
      <c r="A89">
        <v>2211200002</v>
      </c>
      <c r="B89" t="s">
        <v>41</v>
      </c>
      <c r="C89" t="s">
        <v>88</v>
      </c>
      <c r="E89" s="13">
        <v>45748</v>
      </c>
      <c r="F89">
        <v>0</v>
      </c>
      <c r="G89" t="s">
        <v>124</v>
      </c>
    </row>
    <row r="90" spans="1:7" x14ac:dyDescent="0.3">
      <c r="A90">
        <v>2211200002</v>
      </c>
      <c r="B90" t="s">
        <v>41</v>
      </c>
      <c r="C90" t="s">
        <v>88</v>
      </c>
      <c r="E90" s="13">
        <v>45778</v>
      </c>
      <c r="F90">
        <v>0</v>
      </c>
      <c r="G90" t="s">
        <v>124</v>
      </c>
    </row>
    <row r="91" spans="1:7" x14ac:dyDescent="0.3">
      <c r="A91">
        <v>2211200002</v>
      </c>
      <c r="B91" t="s">
        <v>41</v>
      </c>
      <c r="C91" t="s">
        <v>88</v>
      </c>
      <c r="E91" s="13">
        <v>45809</v>
      </c>
      <c r="F91">
        <v>0</v>
      </c>
      <c r="G91" t="s">
        <v>124</v>
      </c>
    </row>
    <row r="92" spans="1:7" x14ac:dyDescent="0.3">
      <c r="A92">
        <v>2211200003</v>
      </c>
      <c r="B92" t="s">
        <v>42</v>
      </c>
      <c r="C92" t="s">
        <v>88</v>
      </c>
      <c r="E92" s="13">
        <v>45292</v>
      </c>
      <c r="F92">
        <v>927479.00660414703</v>
      </c>
      <c r="G92" t="s">
        <v>125</v>
      </c>
    </row>
    <row r="93" spans="1:7" x14ac:dyDescent="0.3">
      <c r="A93">
        <v>2211200003</v>
      </c>
      <c r="B93" t="s">
        <v>42</v>
      </c>
      <c r="C93" t="s">
        <v>88</v>
      </c>
      <c r="E93" s="13">
        <v>45323</v>
      </c>
      <c r="F93">
        <v>704715.47410218394</v>
      </c>
      <c r="G93" t="s">
        <v>125</v>
      </c>
    </row>
    <row r="94" spans="1:7" x14ac:dyDescent="0.3">
      <c r="A94">
        <v>2211200003</v>
      </c>
      <c r="B94" t="s">
        <v>42</v>
      </c>
      <c r="C94" t="s">
        <v>88</v>
      </c>
      <c r="E94" s="13">
        <v>45352</v>
      </c>
      <c r="F94">
        <v>891741.66147497704</v>
      </c>
      <c r="G94" t="s">
        <v>125</v>
      </c>
    </row>
    <row r="95" spans="1:7" x14ac:dyDescent="0.3">
      <c r="A95">
        <v>2211200003</v>
      </c>
      <c r="B95" t="s">
        <v>42</v>
      </c>
      <c r="C95" t="s">
        <v>88</v>
      </c>
      <c r="E95" s="13">
        <v>45383</v>
      </c>
      <c r="F95">
        <v>997120.07745444297</v>
      </c>
      <c r="G95" t="s">
        <v>125</v>
      </c>
    </row>
    <row r="96" spans="1:7" x14ac:dyDescent="0.3">
      <c r="A96">
        <v>2211200003</v>
      </c>
      <c r="B96" t="s">
        <v>42</v>
      </c>
      <c r="C96" t="s">
        <v>88</v>
      </c>
      <c r="E96" s="13">
        <v>45413</v>
      </c>
      <c r="F96">
        <v>960150.55309049506</v>
      </c>
      <c r="G96" t="s">
        <v>125</v>
      </c>
    </row>
    <row r="97" spans="1:7" x14ac:dyDescent="0.3">
      <c r="A97">
        <v>2211200003</v>
      </c>
      <c r="B97" t="s">
        <v>42</v>
      </c>
      <c r="C97" t="s">
        <v>88</v>
      </c>
      <c r="E97" s="13">
        <v>45444</v>
      </c>
      <c r="F97">
        <v>920083.11247849604</v>
      </c>
      <c r="G97" t="s">
        <v>125</v>
      </c>
    </row>
    <row r="98" spans="1:7" x14ac:dyDescent="0.3">
      <c r="A98">
        <v>2211200003</v>
      </c>
      <c r="B98" t="s">
        <v>42</v>
      </c>
      <c r="C98" t="s">
        <v>88</v>
      </c>
      <c r="E98" s="13">
        <v>45474</v>
      </c>
      <c r="F98">
        <v>707533.22756387503</v>
      </c>
      <c r="G98" t="s">
        <v>125</v>
      </c>
    </row>
    <row r="99" spans="1:7" x14ac:dyDescent="0.3">
      <c r="A99">
        <v>2211200003</v>
      </c>
      <c r="B99" t="s">
        <v>42</v>
      </c>
      <c r="C99" t="s">
        <v>88</v>
      </c>
      <c r="E99" s="13">
        <v>45505</v>
      </c>
      <c r="F99">
        <v>510035.973741455</v>
      </c>
      <c r="G99" t="s">
        <v>125</v>
      </c>
    </row>
    <row r="100" spans="1:7" x14ac:dyDescent="0.3">
      <c r="A100">
        <v>2211200003</v>
      </c>
      <c r="B100" t="s">
        <v>42</v>
      </c>
      <c r="C100" t="s">
        <v>88</v>
      </c>
      <c r="E100" s="13">
        <v>45536</v>
      </c>
      <c r="F100">
        <v>798532.14245699195</v>
      </c>
      <c r="G100" t="s">
        <v>125</v>
      </c>
    </row>
    <row r="101" spans="1:7" x14ac:dyDescent="0.3">
      <c r="A101">
        <v>2211200003</v>
      </c>
      <c r="B101" t="s">
        <v>42</v>
      </c>
      <c r="C101" t="s">
        <v>88</v>
      </c>
      <c r="E101" s="13">
        <v>45566</v>
      </c>
      <c r="F101">
        <v>934751.90993476601</v>
      </c>
      <c r="G101" t="s">
        <v>125</v>
      </c>
    </row>
    <row r="102" spans="1:7" x14ac:dyDescent="0.3">
      <c r="A102">
        <v>2211200003</v>
      </c>
      <c r="B102" t="s">
        <v>42</v>
      </c>
      <c r="C102" t="s">
        <v>88</v>
      </c>
      <c r="E102" s="13">
        <v>45597</v>
      </c>
      <c r="F102">
        <v>940569.68295495701</v>
      </c>
      <c r="G102" t="s">
        <v>125</v>
      </c>
    </row>
    <row r="103" spans="1:7" x14ac:dyDescent="0.3">
      <c r="A103">
        <v>2211200003</v>
      </c>
      <c r="B103" t="s">
        <v>42</v>
      </c>
      <c r="C103" t="s">
        <v>88</v>
      </c>
      <c r="E103" s="13">
        <v>45627</v>
      </c>
      <c r="F103">
        <v>919269.08173384296</v>
      </c>
      <c r="G103" t="s">
        <v>125</v>
      </c>
    </row>
    <row r="104" spans="1:7" x14ac:dyDescent="0.3">
      <c r="A104">
        <v>2211200003</v>
      </c>
      <c r="B104" t="s">
        <v>42</v>
      </c>
      <c r="C104" t="s">
        <v>88</v>
      </c>
      <c r="E104" s="13">
        <v>45658</v>
      </c>
      <c r="F104">
        <v>0</v>
      </c>
      <c r="G104" t="s">
        <v>125</v>
      </c>
    </row>
    <row r="105" spans="1:7" x14ac:dyDescent="0.3">
      <c r="A105">
        <v>2211200003</v>
      </c>
      <c r="B105" t="s">
        <v>42</v>
      </c>
      <c r="C105" t="s">
        <v>88</v>
      </c>
      <c r="E105" s="13">
        <v>45689</v>
      </c>
      <c r="F105">
        <v>0</v>
      </c>
      <c r="G105" t="s">
        <v>125</v>
      </c>
    </row>
    <row r="106" spans="1:7" x14ac:dyDescent="0.3">
      <c r="A106">
        <v>2211200003</v>
      </c>
      <c r="B106" t="s">
        <v>42</v>
      </c>
      <c r="C106" t="s">
        <v>88</v>
      </c>
      <c r="E106" s="13">
        <v>45717</v>
      </c>
      <c r="F106">
        <v>0</v>
      </c>
      <c r="G106" t="s">
        <v>125</v>
      </c>
    </row>
    <row r="107" spans="1:7" x14ac:dyDescent="0.3">
      <c r="A107">
        <v>2211200003</v>
      </c>
      <c r="B107" t="s">
        <v>42</v>
      </c>
      <c r="C107" t="s">
        <v>88</v>
      </c>
      <c r="E107" s="13">
        <v>45748</v>
      </c>
      <c r="F107">
        <v>0</v>
      </c>
      <c r="G107" t="s">
        <v>125</v>
      </c>
    </row>
    <row r="108" spans="1:7" x14ac:dyDescent="0.3">
      <c r="A108">
        <v>2211200003</v>
      </c>
      <c r="B108" t="s">
        <v>42</v>
      </c>
      <c r="C108" t="s">
        <v>88</v>
      </c>
      <c r="E108" s="13">
        <v>45778</v>
      </c>
      <c r="F108">
        <v>0</v>
      </c>
      <c r="G108" t="s">
        <v>125</v>
      </c>
    </row>
    <row r="109" spans="1:7" x14ac:dyDescent="0.3">
      <c r="A109">
        <v>2211200003</v>
      </c>
      <c r="B109" t="s">
        <v>42</v>
      </c>
      <c r="C109" t="s">
        <v>88</v>
      </c>
      <c r="E109" s="13">
        <v>45809</v>
      </c>
      <c r="F109">
        <v>0</v>
      </c>
      <c r="G109" t="s">
        <v>125</v>
      </c>
    </row>
    <row r="110" spans="1:7" x14ac:dyDescent="0.3">
      <c r="A110">
        <v>2201201000</v>
      </c>
      <c r="B110" t="s">
        <v>43</v>
      </c>
      <c r="C110" t="s">
        <v>88</v>
      </c>
      <c r="E110" s="13">
        <v>45292</v>
      </c>
      <c r="F110">
        <v>11398.766246217199</v>
      </c>
      <c r="G110" t="s">
        <v>126</v>
      </c>
    </row>
    <row r="111" spans="1:7" x14ac:dyDescent="0.3">
      <c r="A111">
        <v>2201201000</v>
      </c>
      <c r="B111" t="s">
        <v>43</v>
      </c>
      <c r="C111" t="s">
        <v>88</v>
      </c>
      <c r="E111" s="13">
        <v>45323</v>
      </c>
      <c r="F111">
        <v>8839.5312757342399</v>
      </c>
      <c r="G111" t="s">
        <v>126</v>
      </c>
    </row>
    <row r="112" spans="1:7" x14ac:dyDescent="0.3">
      <c r="A112">
        <v>2201201000</v>
      </c>
      <c r="B112" t="s">
        <v>43</v>
      </c>
      <c r="C112" t="s">
        <v>88</v>
      </c>
      <c r="E112" s="13">
        <v>45352</v>
      </c>
      <c r="F112">
        <v>11413.751431754799</v>
      </c>
      <c r="G112" t="s">
        <v>126</v>
      </c>
    </row>
    <row r="113" spans="1:7" x14ac:dyDescent="0.3">
      <c r="A113">
        <v>2201201000</v>
      </c>
      <c r="B113" t="s">
        <v>43</v>
      </c>
      <c r="C113" t="s">
        <v>88</v>
      </c>
      <c r="E113" s="13">
        <v>45383</v>
      </c>
      <c r="F113">
        <v>12483.943369729601</v>
      </c>
      <c r="G113" t="s">
        <v>126</v>
      </c>
    </row>
    <row r="114" spans="1:7" x14ac:dyDescent="0.3">
      <c r="A114">
        <v>2201201000</v>
      </c>
      <c r="B114" t="s">
        <v>43</v>
      </c>
      <c r="C114" t="s">
        <v>88</v>
      </c>
      <c r="E114" s="13">
        <v>45413</v>
      </c>
      <c r="F114">
        <v>11682.298274725899</v>
      </c>
      <c r="G114" t="s">
        <v>126</v>
      </c>
    </row>
    <row r="115" spans="1:7" x14ac:dyDescent="0.3">
      <c r="A115">
        <v>2201201000</v>
      </c>
      <c r="B115" t="s">
        <v>43</v>
      </c>
      <c r="C115" t="s">
        <v>88</v>
      </c>
      <c r="E115" s="13">
        <v>45444</v>
      </c>
      <c r="F115">
        <v>11405.3867012186</v>
      </c>
      <c r="G115" t="s">
        <v>126</v>
      </c>
    </row>
    <row r="116" spans="1:7" x14ac:dyDescent="0.3">
      <c r="A116">
        <v>2201201000</v>
      </c>
      <c r="B116" t="s">
        <v>43</v>
      </c>
      <c r="C116" t="s">
        <v>88</v>
      </c>
      <c r="E116" s="13">
        <v>45474</v>
      </c>
      <c r="F116">
        <v>8858.3160090997208</v>
      </c>
      <c r="G116" t="s">
        <v>126</v>
      </c>
    </row>
    <row r="117" spans="1:7" x14ac:dyDescent="0.3">
      <c r="A117">
        <v>2201201000</v>
      </c>
      <c r="B117" t="s">
        <v>43</v>
      </c>
      <c r="C117" t="s">
        <v>88</v>
      </c>
      <c r="E117" s="13">
        <v>45505</v>
      </c>
      <c r="F117">
        <v>6168.2206145791097</v>
      </c>
      <c r="G117" t="s">
        <v>126</v>
      </c>
    </row>
    <row r="118" spans="1:7" x14ac:dyDescent="0.3">
      <c r="A118">
        <v>2201201000</v>
      </c>
      <c r="B118" t="s">
        <v>43</v>
      </c>
      <c r="C118" t="s">
        <v>88</v>
      </c>
      <c r="E118" s="13">
        <v>45536</v>
      </c>
      <c r="F118">
        <v>9898.6360629322207</v>
      </c>
      <c r="G118" t="s">
        <v>126</v>
      </c>
    </row>
    <row r="119" spans="1:7" x14ac:dyDescent="0.3">
      <c r="A119">
        <v>2201201000</v>
      </c>
      <c r="B119" t="s">
        <v>43</v>
      </c>
      <c r="C119" t="s">
        <v>88</v>
      </c>
      <c r="E119" s="13">
        <v>45566</v>
      </c>
      <c r="F119">
        <v>11587.221695429</v>
      </c>
      <c r="G119" t="s">
        <v>126</v>
      </c>
    </row>
    <row r="120" spans="1:7" x14ac:dyDescent="0.3">
      <c r="A120">
        <v>2201201000</v>
      </c>
      <c r="B120" t="s">
        <v>43</v>
      </c>
      <c r="C120" t="s">
        <v>88</v>
      </c>
      <c r="E120" s="13">
        <v>45597</v>
      </c>
      <c r="F120">
        <v>11659.3390401941</v>
      </c>
      <c r="G120" t="s">
        <v>126</v>
      </c>
    </row>
    <row r="121" spans="1:7" x14ac:dyDescent="0.3">
      <c r="A121">
        <v>2201201000</v>
      </c>
      <c r="B121" t="s">
        <v>43</v>
      </c>
      <c r="C121" t="s">
        <v>88</v>
      </c>
      <c r="E121" s="13">
        <v>45627</v>
      </c>
      <c r="F121">
        <v>11282.4712315535</v>
      </c>
      <c r="G121" t="s">
        <v>126</v>
      </c>
    </row>
    <row r="122" spans="1:7" x14ac:dyDescent="0.3">
      <c r="A122">
        <v>2201201000</v>
      </c>
      <c r="B122" t="s">
        <v>43</v>
      </c>
      <c r="C122" t="s">
        <v>88</v>
      </c>
      <c r="E122" s="13">
        <v>45658</v>
      </c>
      <c r="F122">
        <v>0</v>
      </c>
      <c r="G122" t="s">
        <v>126</v>
      </c>
    </row>
    <row r="123" spans="1:7" x14ac:dyDescent="0.3">
      <c r="A123">
        <v>2201201000</v>
      </c>
      <c r="B123" t="s">
        <v>43</v>
      </c>
      <c r="C123" t="s">
        <v>88</v>
      </c>
      <c r="E123" s="13">
        <v>45689</v>
      </c>
      <c r="F123">
        <v>0</v>
      </c>
      <c r="G123" t="s">
        <v>126</v>
      </c>
    </row>
    <row r="124" spans="1:7" x14ac:dyDescent="0.3">
      <c r="A124">
        <v>2201201000</v>
      </c>
      <c r="B124" t="s">
        <v>43</v>
      </c>
      <c r="C124" t="s">
        <v>88</v>
      </c>
      <c r="E124" s="13">
        <v>45717</v>
      </c>
      <c r="F124">
        <v>0</v>
      </c>
      <c r="G124" t="s">
        <v>126</v>
      </c>
    </row>
    <row r="125" spans="1:7" x14ac:dyDescent="0.3">
      <c r="A125">
        <v>2201201000</v>
      </c>
      <c r="B125" t="s">
        <v>43</v>
      </c>
      <c r="C125" t="s">
        <v>88</v>
      </c>
      <c r="E125" s="13">
        <v>45748</v>
      </c>
      <c r="F125">
        <v>0</v>
      </c>
      <c r="G125" t="s">
        <v>126</v>
      </c>
    </row>
    <row r="126" spans="1:7" x14ac:dyDescent="0.3">
      <c r="A126">
        <v>2201201000</v>
      </c>
      <c r="B126" t="s">
        <v>43</v>
      </c>
      <c r="C126" t="s">
        <v>88</v>
      </c>
      <c r="E126" s="13">
        <v>45778</v>
      </c>
      <c r="F126">
        <v>0</v>
      </c>
      <c r="G126" t="s">
        <v>126</v>
      </c>
    </row>
    <row r="127" spans="1:7" x14ac:dyDescent="0.3">
      <c r="A127">
        <v>2201201000</v>
      </c>
      <c r="B127" t="s">
        <v>43</v>
      </c>
      <c r="C127" t="s">
        <v>88</v>
      </c>
      <c r="E127" s="13">
        <v>45809</v>
      </c>
      <c r="F127">
        <v>0</v>
      </c>
      <c r="G127" t="s">
        <v>126</v>
      </c>
    </row>
    <row r="128" spans="1:7" x14ac:dyDescent="0.3">
      <c r="A128">
        <v>2690200007</v>
      </c>
      <c r="B128" t="s">
        <v>29</v>
      </c>
      <c r="C128" t="s">
        <v>90</v>
      </c>
      <c r="D128" t="s">
        <v>25</v>
      </c>
      <c r="E128" s="13">
        <v>45292</v>
      </c>
      <c r="F128">
        <v>317875.15393591102</v>
      </c>
      <c r="G128" t="s">
        <v>127</v>
      </c>
    </row>
    <row r="129" spans="1:7" x14ac:dyDescent="0.3">
      <c r="A129">
        <v>2690200007</v>
      </c>
      <c r="B129" t="s">
        <v>29</v>
      </c>
      <c r="C129" t="s">
        <v>90</v>
      </c>
      <c r="D129" t="s">
        <v>25</v>
      </c>
      <c r="E129" s="13">
        <v>45323</v>
      </c>
      <c r="F129">
        <v>409768.75901953498</v>
      </c>
      <c r="G129" t="s">
        <v>127</v>
      </c>
    </row>
    <row r="130" spans="1:7" x14ac:dyDescent="0.3">
      <c r="A130">
        <v>2690200007</v>
      </c>
      <c r="B130" t="s">
        <v>29</v>
      </c>
      <c r="C130" t="s">
        <v>90</v>
      </c>
      <c r="D130" t="s">
        <v>25</v>
      </c>
      <c r="E130" s="13">
        <v>45352</v>
      </c>
      <c r="F130">
        <v>568307.73912892095</v>
      </c>
      <c r="G130" t="s">
        <v>127</v>
      </c>
    </row>
    <row r="131" spans="1:7" x14ac:dyDescent="0.3">
      <c r="A131">
        <v>2690200007</v>
      </c>
      <c r="B131" t="s">
        <v>29</v>
      </c>
      <c r="C131" t="s">
        <v>90</v>
      </c>
      <c r="D131" t="s">
        <v>25</v>
      </c>
      <c r="E131" s="13">
        <v>45383</v>
      </c>
      <c r="F131">
        <v>511261.69768567401</v>
      </c>
      <c r="G131" t="s">
        <v>127</v>
      </c>
    </row>
    <row r="132" spans="1:7" x14ac:dyDescent="0.3">
      <c r="A132">
        <v>2690200007</v>
      </c>
      <c r="B132" t="s">
        <v>29</v>
      </c>
      <c r="C132" t="s">
        <v>90</v>
      </c>
      <c r="D132" t="s">
        <v>25</v>
      </c>
      <c r="E132" s="13">
        <v>45413</v>
      </c>
      <c r="F132">
        <v>467668.52780748898</v>
      </c>
      <c r="G132" t="s">
        <v>127</v>
      </c>
    </row>
    <row r="133" spans="1:7" x14ac:dyDescent="0.3">
      <c r="A133">
        <v>2690200007</v>
      </c>
      <c r="B133" t="s">
        <v>29</v>
      </c>
      <c r="C133" t="s">
        <v>90</v>
      </c>
      <c r="D133" t="s">
        <v>25</v>
      </c>
      <c r="E133" s="13">
        <v>45444</v>
      </c>
      <c r="F133">
        <v>381856.68402023398</v>
      </c>
      <c r="G133" t="s">
        <v>127</v>
      </c>
    </row>
    <row r="134" spans="1:7" x14ac:dyDescent="0.3">
      <c r="A134">
        <v>2690200007</v>
      </c>
      <c r="B134" t="s">
        <v>29</v>
      </c>
      <c r="C134" t="s">
        <v>90</v>
      </c>
      <c r="D134" t="s">
        <v>25</v>
      </c>
      <c r="E134" s="13">
        <v>45474</v>
      </c>
      <c r="F134">
        <v>285451.896518011</v>
      </c>
      <c r="G134" t="s">
        <v>127</v>
      </c>
    </row>
    <row r="135" spans="1:7" x14ac:dyDescent="0.3">
      <c r="A135">
        <v>2690200007</v>
      </c>
      <c r="B135" t="s">
        <v>29</v>
      </c>
      <c r="C135" t="s">
        <v>90</v>
      </c>
      <c r="D135" t="s">
        <v>25</v>
      </c>
      <c r="E135" s="13">
        <v>45505</v>
      </c>
      <c r="F135">
        <v>344870.89313454001</v>
      </c>
      <c r="G135" t="s">
        <v>127</v>
      </c>
    </row>
    <row r="136" spans="1:7" x14ac:dyDescent="0.3">
      <c r="A136">
        <v>2690200007</v>
      </c>
      <c r="B136" t="s">
        <v>29</v>
      </c>
      <c r="C136" t="s">
        <v>90</v>
      </c>
      <c r="D136" t="s">
        <v>25</v>
      </c>
      <c r="E136" s="13">
        <v>45536</v>
      </c>
      <c r="F136">
        <v>596806.46392798994</v>
      </c>
      <c r="G136" t="s">
        <v>127</v>
      </c>
    </row>
    <row r="137" spans="1:7" x14ac:dyDescent="0.3">
      <c r="A137">
        <v>2690200007</v>
      </c>
      <c r="B137" t="s">
        <v>29</v>
      </c>
      <c r="C137" t="s">
        <v>90</v>
      </c>
      <c r="D137" t="s">
        <v>25</v>
      </c>
      <c r="E137" s="13">
        <v>45566</v>
      </c>
      <c r="F137">
        <v>546218.248391186</v>
      </c>
      <c r="G137" t="s">
        <v>127</v>
      </c>
    </row>
    <row r="138" spans="1:7" x14ac:dyDescent="0.3">
      <c r="A138">
        <v>2690200007</v>
      </c>
      <c r="B138" t="s">
        <v>29</v>
      </c>
      <c r="C138" t="s">
        <v>90</v>
      </c>
      <c r="D138" t="s">
        <v>25</v>
      </c>
      <c r="E138" s="13">
        <v>45597</v>
      </c>
      <c r="F138">
        <v>589848.29245393898</v>
      </c>
      <c r="G138" t="s">
        <v>127</v>
      </c>
    </row>
    <row r="139" spans="1:7" x14ac:dyDescent="0.3">
      <c r="A139">
        <v>2690200007</v>
      </c>
      <c r="B139" t="s">
        <v>29</v>
      </c>
      <c r="C139" t="s">
        <v>90</v>
      </c>
      <c r="D139" t="s">
        <v>25</v>
      </c>
      <c r="E139" s="13">
        <v>45627</v>
      </c>
      <c r="F139">
        <v>565735.576113755</v>
      </c>
      <c r="G139" t="s">
        <v>127</v>
      </c>
    </row>
    <row r="140" spans="1:7" x14ac:dyDescent="0.3">
      <c r="A140">
        <v>2690200007</v>
      </c>
      <c r="B140" t="s">
        <v>29</v>
      </c>
      <c r="C140" t="s">
        <v>90</v>
      </c>
      <c r="D140" t="s">
        <v>25</v>
      </c>
      <c r="E140" s="13">
        <v>45658</v>
      </c>
      <c r="F140">
        <v>0</v>
      </c>
      <c r="G140" t="s">
        <v>127</v>
      </c>
    </row>
    <row r="141" spans="1:7" x14ac:dyDescent="0.3">
      <c r="A141">
        <v>2690200007</v>
      </c>
      <c r="B141" t="s">
        <v>29</v>
      </c>
      <c r="C141" t="s">
        <v>90</v>
      </c>
      <c r="D141" t="s">
        <v>25</v>
      </c>
      <c r="E141" s="13">
        <v>45689</v>
      </c>
      <c r="F141">
        <v>0</v>
      </c>
      <c r="G141" t="s">
        <v>127</v>
      </c>
    </row>
    <row r="142" spans="1:7" x14ac:dyDescent="0.3">
      <c r="A142">
        <v>2690200007</v>
      </c>
      <c r="B142" t="s">
        <v>29</v>
      </c>
      <c r="C142" t="s">
        <v>90</v>
      </c>
      <c r="D142" t="s">
        <v>25</v>
      </c>
      <c r="E142" s="13">
        <v>45717</v>
      </c>
      <c r="F142">
        <v>0</v>
      </c>
      <c r="G142" t="s">
        <v>127</v>
      </c>
    </row>
    <row r="143" spans="1:7" x14ac:dyDescent="0.3">
      <c r="A143">
        <v>2690200007</v>
      </c>
      <c r="B143" t="s">
        <v>29</v>
      </c>
      <c r="C143" t="s">
        <v>90</v>
      </c>
      <c r="D143" t="s">
        <v>25</v>
      </c>
      <c r="E143" s="13">
        <v>45748</v>
      </c>
      <c r="F143">
        <v>0</v>
      </c>
      <c r="G143" t="s">
        <v>127</v>
      </c>
    </row>
    <row r="144" spans="1:7" x14ac:dyDescent="0.3">
      <c r="A144">
        <v>2690200007</v>
      </c>
      <c r="B144" t="s">
        <v>29</v>
      </c>
      <c r="C144" t="s">
        <v>90</v>
      </c>
      <c r="D144" t="s">
        <v>25</v>
      </c>
      <c r="E144" s="13">
        <v>45778</v>
      </c>
      <c r="F144">
        <v>0</v>
      </c>
      <c r="G144" t="s">
        <v>127</v>
      </c>
    </row>
    <row r="145" spans="1:7" x14ac:dyDescent="0.3">
      <c r="A145">
        <v>2690200007</v>
      </c>
      <c r="B145" t="s">
        <v>29</v>
      </c>
      <c r="C145" t="s">
        <v>90</v>
      </c>
      <c r="D145" t="s">
        <v>25</v>
      </c>
      <c r="E145" s="13">
        <v>45809</v>
      </c>
      <c r="F145">
        <v>0</v>
      </c>
      <c r="G145" t="s">
        <v>127</v>
      </c>
    </row>
    <row r="146" spans="1:7" x14ac:dyDescent="0.3">
      <c r="A146">
        <v>2690200010</v>
      </c>
      <c r="B146" t="s">
        <v>53</v>
      </c>
      <c r="C146" t="s">
        <v>90</v>
      </c>
      <c r="D146" t="s">
        <v>25</v>
      </c>
      <c r="E146" s="13">
        <v>45292</v>
      </c>
      <c r="F146">
        <v>67059.1671867939</v>
      </c>
      <c r="G146" t="s">
        <v>128</v>
      </c>
    </row>
    <row r="147" spans="1:7" x14ac:dyDescent="0.3">
      <c r="A147">
        <v>2690200010</v>
      </c>
      <c r="B147" t="s">
        <v>53</v>
      </c>
      <c r="C147" t="s">
        <v>90</v>
      </c>
      <c r="D147" t="s">
        <v>25</v>
      </c>
      <c r="E147" s="13">
        <v>45323</v>
      </c>
      <c r="F147">
        <v>87119.241687380898</v>
      </c>
      <c r="G147" t="s">
        <v>128</v>
      </c>
    </row>
    <row r="148" spans="1:7" x14ac:dyDescent="0.3">
      <c r="A148">
        <v>2690200010</v>
      </c>
      <c r="B148" t="s">
        <v>53</v>
      </c>
      <c r="C148" t="s">
        <v>90</v>
      </c>
      <c r="D148" t="s">
        <v>25</v>
      </c>
      <c r="E148" s="13">
        <v>45352</v>
      </c>
      <c r="F148">
        <v>123829.24404732299</v>
      </c>
      <c r="G148" t="s">
        <v>128</v>
      </c>
    </row>
    <row r="149" spans="1:7" x14ac:dyDescent="0.3">
      <c r="A149">
        <v>2690200010</v>
      </c>
      <c r="B149" t="s">
        <v>53</v>
      </c>
      <c r="C149" t="s">
        <v>90</v>
      </c>
      <c r="D149" t="s">
        <v>25</v>
      </c>
      <c r="E149" s="13">
        <v>45383</v>
      </c>
      <c r="F149">
        <v>118127.484623818</v>
      </c>
      <c r="G149" t="s">
        <v>128</v>
      </c>
    </row>
    <row r="150" spans="1:7" x14ac:dyDescent="0.3">
      <c r="A150">
        <v>2690200010</v>
      </c>
      <c r="B150" t="s">
        <v>53</v>
      </c>
      <c r="C150" t="s">
        <v>90</v>
      </c>
      <c r="D150" t="s">
        <v>25</v>
      </c>
      <c r="E150" s="13">
        <v>45413</v>
      </c>
      <c r="F150">
        <v>111368.195208679</v>
      </c>
      <c r="G150" t="s">
        <v>128</v>
      </c>
    </row>
    <row r="151" spans="1:7" x14ac:dyDescent="0.3">
      <c r="A151">
        <v>2690200010</v>
      </c>
      <c r="B151" t="s">
        <v>53</v>
      </c>
      <c r="C151" t="s">
        <v>90</v>
      </c>
      <c r="D151" t="s">
        <v>25</v>
      </c>
      <c r="E151" s="13">
        <v>45444</v>
      </c>
      <c r="F151">
        <v>89145.294525000005</v>
      </c>
      <c r="G151" t="s">
        <v>128</v>
      </c>
    </row>
    <row r="152" spans="1:7" x14ac:dyDescent="0.3">
      <c r="A152">
        <v>2690200010</v>
      </c>
      <c r="B152" t="s">
        <v>53</v>
      </c>
      <c r="C152" t="s">
        <v>90</v>
      </c>
      <c r="D152" t="s">
        <v>25</v>
      </c>
      <c r="E152" s="13">
        <v>45474</v>
      </c>
      <c r="F152">
        <v>65228.702607886698</v>
      </c>
      <c r="G152" t="s">
        <v>128</v>
      </c>
    </row>
    <row r="153" spans="1:7" x14ac:dyDescent="0.3">
      <c r="A153">
        <v>2690200010</v>
      </c>
      <c r="B153" t="s">
        <v>53</v>
      </c>
      <c r="C153" t="s">
        <v>90</v>
      </c>
      <c r="D153" t="s">
        <v>25</v>
      </c>
      <c r="E153" s="13">
        <v>45505</v>
      </c>
      <c r="F153">
        <v>72627.0591959741</v>
      </c>
      <c r="G153" t="s">
        <v>128</v>
      </c>
    </row>
    <row r="154" spans="1:7" x14ac:dyDescent="0.3">
      <c r="A154">
        <v>2690200010</v>
      </c>
      <c r="B154" t="s">
        <v>53</v>
      </c>
      <c r="C154" t="s">
        <v>90</v>
      </c>
      <c r="D154" t="s">
        <v>25</v>
      </c>
      <c r="E154" s="13">
        <v>45536</v>
      </c>
      <c r="F154">
        <v>113058.288</v>
      </c>
      <c r="G154" t="s">
        <v>128</v>
      </c>
    </row>
    <row r="155" spans="1:7" x14ac:dyDescent="0.3">
      <c r="A155">
        <v>2690200010</v>
      </c>
      <c r="B155" t="s">
        <v>53</v>
      </c>
      <c r="C155" t="s">
        <v>90</v>
      </c>
      <c r="D155" t="s">
        <v>25</v>
      </c>
      <c r="E155" s="13">
        <v>45566</v>
      </c>
      <c r="F155">
        <v>120163.845839531</v>
      </c>
      <c r="G155" t="s">
        <v>128</v>
      </c>
    </row>
    <row r="156" spans="1:7" x14ac:dyDescent="0.3">
      <c r="A156">
        <v>2690200010</v>
      </c>
      <c r="B156" t="s">
        <v>53</v>
      </c>
      <c r="C156" t="s">
        <v>90</v>
      </c>
      <c r="D156" t="s">
        <v>25</v>
      </c>
      <c r="E156" s="13">
        <v>45597</v>
      </c>
      <c r="F156">
        <v>120876.87312739799</v>
      </c>
      <c r="G156" t="s">
        <v>128</v>
      </c>
    </row>
    <row r="157" spans="1:7" x14ac:dyDescent="0.3">
      <c r="A157">
        <v>2690200010</v>
      </c>
      <c r="B157" t="s">
        <v>53</v>
      </c>
      <c r="C157" t="s">
        <v>90</v>
      </c>
      <c r="D157" t="s">
        <v>25</v>
      </c>
      <c r="E157" s="13">
        <v>45627</v>
      </c>
      <c r="F157">
        <v>106978.35630501001</v>
      </c>
      <c r="G157" t="s">
        <v>128</v>
      </c>
    </row>
    <row r="158" spans="1:7" x14ac:dyDescent="0.3">
      <c r="A158">
        <v>2690200010</v>
      </c>
      <c r="B158" t="s">
        <v>53</v>
      </c>
      <c r="C158" t="s">
        <v>90</v>
      </c>
      <c r="D158" t="s">
        <v>25</v>
      </c>
      <c r="E158" s="13">
        <v>45658</v>
      </c>
      <c r="F158">
        <v>0</v>
      </c>
      <c r="G158" t="s">
        <v>128</v>
      </c>
    </row>
    <row r="159" spans="1:7" x14ac:dyDescent="0.3">
      <c r="A159">
        <v>2690200010</v>
      </c>
      <c r="B159" t="s">
        <v>53</v>
      </c>
      <c r="C159" t="s">
        <v>90</v>
      </c>
      <c r="D159" t="s">
        <v>25</v>
      </c>
      <c r="E159" s="13">
        <v>45689</v>
      </c>
      <c r="F159">
        <v>0</v>
      </c>
      <c r="G159" t="s">
        <v>128</v>
      </c>
    </row>
    <row r="160" spans="1:7" x14ac:dyDescent="0.3">
      <c r="A160">
        <v>2690200010</v>
      </c>
      <c r="B160" t="s">
        <v>53</v>
      </c>
      <c r="C160" t="s">
        <v>90</v>
      </c>
      <c r="D160" t="s">
        <v>25</v>
      </c>
      <c r="E160" s="13">
        <v>45717</v>
      </c>
      <c r="F160">
        <v>0</v>
      </c>
      <c r="G160" t="s">
        <v>128</v>
      </c>
    </row>
    <row r="161" spans="1:7" x14ac:dyDescent="0.3">
      <c r="A161">
        <v>2690200010</v>
      </c>
      <c r="B161" t="s">
        <v>53</v>
      </c>
      <c r="C161" t="s">
        <v>90</v>
      </c>
      <c r="D161" t="s">
        <v>25</v>
      </c>
      <c r="E161" s="13">
        <v>45748</v>
      </c>
      <c r="F161">
        <v>0</v>
      </c>
      <c r="G161" t="s">
        <v>128</v>
      </c>
    </row>
    <row r="162" spans="1:7" x14ac:dyDescent="0.3">
      <c r="A162">
        <v>2690200010</v>
      </c>
      <c r="B162" t="s">
        <v>53</v>
      </c>
      <c r="C162" t="s">
        <v>90</v>
      </c>
      <c r="D162" t="s">
        <v>25</v>
      </c>
      <c r="E162" s="13">
        <v>45778</v>
      </c>
      <c r="F162">
        <v>0</v>
      </c>
      <c r="G162" t="s">
        <v>128</v>
      </c>
    </row>
    <row r="163" spans="1:7" x14ac:dyDescent="0.3">
      <c r="A163">
        <v>2690200010</v>
      </c>
      <c r="B163" t="s">
        <v>53</v>
      </c>
      <c r="C163" t="s">
        <v>90</v>
      </c>
      <c r="D163" t="s">
        <v>25</v>
      </c>
      <c r="E163" s="13">
        <v>45809</v>
      </c>
      <c r="F163">
        <v>0</v>
      </c>
      <c r="G163" t="s">
        <v>128</v>
      </c>
    </row>
    <row r="164" spans="1:7" x14ac:dyDescent="0.3">
      <c r="A164">
        <v>2532300000</v>
      </c>
      <c r="B164" t="s">
        <v>26</v>
      </c>
      <c r="C164" t="s">
        <v>90</v>
      </c>
      <c r="D164" t="s">
        <v>26</v>
      </c>
      <c r="E164" s="13">
        <v>45292</v>
      </c>
      <c r="F164">
        <v>1470207.5748717899</v>
      </c>
      <c r="G164" t="s">
        <v>129</v>
      </c>
    </row>
    <row r="165" spans="1:7" x14ac:dyDescent="0.3">
      <c r="A165">
        <v>2532300000</v>
      </c>
      <c r="B165" t="s">
        <v>26</v>
      </c>
      <c r="C165" t="s">
        <v>90</v>
      </c>
      <c r="D165" t="s">
        <v>26</v>
      </c>
      <c r="E165" s="13">
        <v>45323</v>
      </c>
      <c r="F165">
        <v>1932725.4307341301</v>
      </c>
      <c r="G165" t="s">
        <v>129</v>
      </c>
    </row>
    <row r="166" spans="1:7" x14ac:dyDescent="0.3">
      <c r="A166">
        <v>2532300000</v>
      </c>
      <c r="B166" t="s">
        <v>26</v>
      </c>
      <c r="C166" t="s">
        <v>90</v>
      </c>
      <c r="D166" t="s">
        <v>26</v>
      </c>
      <c r="E166" s="13">
        <v>45352</v>
      </c>
      <c r="F166">
        <v>2446516.2337589501</v>
      </c>
      <c r="G166" t="s">
        <v>129</v>
      </c>
    </row>
    <row r="167" spans="1:7" x14ac:dyDescent="0.3">
      <c r="A167">
        <v>2532300000</v>
      </c>
      <c r="B167" t="s">
        <v>26</v>
      </c>
      <c r="C167" t="s">
        <v>90</v>
      </c>
      <c r="D167" t="s">
        <v>26</v>
      </c>
      <c r="E167" s="13">
        <v>45383</v>
      </c>
      <c r="F167">
        <v>2307060.6568676499</v>
      </c>
      <c r="G167" t="s">
        <v>129</v>
      </c>
    </row>
    <row r="168" spans="1:7" x14ac:dyDescent="0.3">
      <c r="A168">
        <v>2532300000</v>
      </c>
      <c r="B168" t="s">
        <v>26</v>
      </c>
      <c r="C168" t="s">
        <v>90</v>
      </c>
      <c r="D168" t="s">
        <v>26</v>
      </c>
      <c r="E168" s="13">
        <v>45413</v>
      </c>
      <c r="F168">
        <v>2092614.7626787601</v>
      </c>
      <c r="G168" t="s">
        <v>129</v>
      </c>
    </row>
    <row r="169" spans="1:7" x14ac:dyDescent="0.3">
      <c r="A169">
        <v>2532300000</v>
      </c>
      <c r="B169" t="s">
        <v>26</v>
      </c>
      <c r="C169" t="s">
        <v>90</v>
      </c>
      <c r="D169" t="s">
        <v>26</v>
      </c>
      <c r="E169" s="13">
        <v>45444</v>
      </c>
      <c r="F169">
        <v>1618297.10310702</v>
      </c>
      <c r="G169" t="s">
        <v>129</v>
      </c>
    </row>
    <row r="170" spans="1:7" x14ac:dyDescent="0.3">
      <c r="A170">
        <v>2532300000</v>
      </c>
      <c r="B170" t="s">
        <v>26</v>
      </c>
      <c r="C170" t="s">
        <v>90</v>
      </c>
      <c r="D170" t="s">
        <v>26</v>
      </c>
      <c r="E170" s="13">
        <v>45474</v>
      </c>
      <c r="F170">
        <v>1227654.36234871</v>
      </c>
      <c r="G170" t="s">
        <v>129</v>
      </c>
    </row>
    <row r="171" spans="1:7" x14ac:dyDescent="0.3">
      <c r="A171">
        <v>2532300000</v>
      </c>
      <c r="B171" t="s">
        <v>26</v>
      </c>
      <c r="C171" t="s">
        <v>90</v>
      </c>
      <c r="D171" t="s">
        <v>26</v>
      </c>
      <c r="E171" s="13">
        <v>45505</v>
      </c>
      <c r="F171">
        <v>1435278.96860793</v>
      </c>
      <c r="G171" t="s">
        <v>129</v>
      </c>
    </row>
    <row r="172" spans="1:7" x14ac:dyDescent="0.3">
      <c r="A172">
        <v>2532300000</v>
      </c>
      <c r="B172" t="s">
        <v>26</v>
      </c>
      <c r="C172" t="s">
        <v>90</v>
      </c>
      <c r="D172" t="s">
        <v>26</v>
      </c>
      <c r="E172" s="13">
        <v>45536</v>
      </c>
      <c r="F172">
        <v>2829668.0311388802</v>
      </c>
      <c r="G172" t="s">
        <v>129</v>
      </c>
    </row>
    <row r="173" spans="1:7" x14ac:dyDescent="0.3">
      <c r="A173">
        <v>2532300000</v>
      </c>
      <c r="B173" t="s">
        <v>26</v>
      </c>
      <c r="C173" t="s">
        <v>90</v>
      </c>
      <c r="D173" t="s">
        <v>26</v>
      </c>
      <c r="E173" s="13">
        <v>45566</v>
      </c>
      <c r="F173">
        <v>2625300.94094127</v>
      </c>
      <c r="G173" t="s">
        <v>129</v>
      </c>
    </row>
    <row r="174" spans="1:7" x14ac:dyDescent="0.3">
      <c r="A174">
        <v>2532300000</v>
      </c>
      <c r="B174" t="s">
        <v>26</v>
      </c>
      <c r="C174" t="s">
        <v>90</v>
      </c>
      <c r="D174" t="s">
        <v>26</v>
      </c>
      <c r="E174" s="13">
        <v>45597</v>
      </c>
      <c r="F174">
        <v>2833429.9650960402</v>
      </c>
      <c r="G174" t="s">
        <v>129</v>
      </c>
    </row>
    <row r="175" spans="1:7" x14ac:dyDescent="0.3">
      <c r="A175">
        <v>2532300000</v>
      </c>
      <c r="B175" t="s">
        <v>26</v>
      </c>
      <c r="C175" t="s">
        <v>90</v>
      </c>
      <c r="D175" t="s">
        <v>26</v>
      </c>
      <c r="E175" s="13">
        <v>45627</v>
      </c>
      <c r="F175">
        <v>2614443.6068102401</v>
      </c>
      <c r="G175" t="s">
        <v>129</v>
      </c>
    </row>
    <row r="176" spans="1:7" x14ac:dyDescent="0.3">
      <c r="A176">
        <v>2532300000</v>
      </c>
      <c r="B176" t="s">
        <v>26</v>
      </c>
      <c r="C176" t="s">
        <v>90</v>
      </c>
      <c r="D176" t="s">
        <v>26</v>
      </c>
      <c r="E176" s="13">
        <v>45658</v>
      </c>
      <c r="F176">
        <v>0</v>
      </c>
      <c r="G176" t="s">
        <v>129</v>
      </c>
    </row>
    <row r="177" spans="1:7" x14ac:dyDescent="0.3">
      <c r="A177">
        <v>2532300000</v>
      </c>
      <c r="B177" t="s">
        <v>26</v>
      </c>
      <c r="C177" t="s">
        <v>90</v>
      </c>
      <c r="D177" t="s">
        <v>26</v>
      </c>
      <c r="E177" s="13">
        <v>45689</v>
      </c>
      <c r="F177">
        <v>0</v>
      </c>
      <c r="G177" t="s">
        <v>129</v>
      </c>
    </row>
    <row r="178" spans="1:7" x14ac:dyDescent="0.3">
      <c r="A178">
        <v>2532300000</v>
      </c>
      <c r="B178" t="s">
        <v>26</v>
      </c>
      <c r="C178" t="s">
        <v>90</v>
      </c>
      <c r="D178" t="s">
        <v>26</v>
      </c>
      <c r="E178" s="13">
        <v>45717</v>
      </c>
      <c r="F178">
        <v>0</v>
      </c>
      <c r="G178" t="s">
        <v>129</v>
      </c>
    </row>
    <row r="179" spans="1:7" x14ac:dyDescent="0.3">
      <c r="A179">
        <v>2532300000</v>
      </c>
      <c r="B179" t="s">
        <v>26</v>
      </c>
      <c r="C179" t="s">
        <v>90</v>
      </c>
      <c r="D179" t="s">
        <v>26</v>
      </c>
      <c r="E179" s="13">
        <v>45748</v>
      </c>
      <c r="F179">
        <v>0</v>
      </c>
      <c r="G179" t="s">
        <v>129</v>
      </c>
    </row>
    <row r="180" spans="1:7" x14ac:dyDescent="0.3">
      <c r="A180">
        <v>2532300000</v>
      </c>
      <c r="B180" t="s">
        <v>26</v>
      </c>
      <c r="C180" t="s">
        <v>90</v>
      </c>
      <c r="D180" t="s">
        <v>26</v>
      </c>
      <c r="E180" s="13">
        <v>45778</v>
      </c>
      <c r="F180">
        <v>0</v>
      </c>
      <c r="G180" t="s">
        <v>129</v>
      </c>
    </row>
    <row r="181" spans="1:7" x14ac:dyDescent="0.3">
      <c r="A181">
        <v>2532300000</v>
      </c>
      <c r="B181" t="s">
        <v>26</v>
      </c>
      <c r="C181" t="s">
        <v>90</v>
      </c>
      <c r="D181" t="s">
        <v>26</v>
      </c>
      <c r="E181" s="13">
        <v>45809</v>
      </c>
      <c r="F181">
        <v>0</v>
      </c>
      <c r="G181" t="s">
        <v>129</v>
      </c>
    </row>
    <row r="182" spans="1:7" x14ac:dyDescent="0.3">
      <c r="A182">
        <v>2530200000</v>
      </c>
      <c r="B182" t="s">
        <v>52</v>
      </c>
      <c r="C182" t="s">
        <v>90</v>
      </c>
      <c r="D182" t="s">
        <v>27</v>
      </c>
      <c r="E182" s="13">
        <v>45292</v>
      </c>
      <c r="F182">
        <v>2543367.9942725501</v>
      </c>
      <c r="G182" t="s">
        <v>130</v>
      </c>
    </row>
    <row r="183" spans="1:7" x14ac:dyDescent="0.3">
      <c r="A183">
        <v>2530200000</v>
      </c>
      <c r="B183" t="s">
        <v>52</v>
      </c>
      <c r="C183" t="s">
        <v>90</v>
      </c>
      <c r="D183" t="s">
        <v>27</v>
      </c>
      <c r="E183" s="13">
        <v>45323</v>
      </c>
      <c r="F183">
        <v>3367126.0614075302</v>
      </c>
      <c r="G183" t="s">
        <v>130</v>
      </c>
    </row>
    <row r="184" spans="1:7" x14ac:dyDescent="0.3">
      <c r="A184">
        <v>2530200000</v>
      </c>
      <c r="B184" t="s">
        <v>52</v>
      </c>
      <c r="C184" t="s">
        <v>90</v>
      </c>
      <c r="D184" t="s">
        <v>27</v>
      </c>
      <c r="E184" s="13">
        <v>45352</v>
      </c>
      <c r="F184">
        <v>4541273.1791658998</v>
      </c>
      <c r="G184" t="s">
        <v>130</v>
      </c>
    </row>
    <row r="185" spans="1:7" x14ac:dyDescent="0.3">
      <c r="A185">
        <v>2530200000</v>
      </c>
      <c r="B185" t="s">
        <v>52</v>
      </c>
      <c r="C185" t="s">
        <v>90</v>
      </c>
      <c r="D185" t="s">
        <v>27</v>
      </c>
      <c r="E185" s="13">
        <v>45383</v>
      </c>
      <c r="F185">
        <v>4159371.2398202601</v>
      </c>
      <c r="G185" t="s">
        <v>130</v>
      </c>
    </row>
    <row r="186" spans="1:7" x14ac:dyDescent="0.3">
      <c r="A186">
        <v>2530200000</v>
      </c>
      <c r="B186" t="s">
        <v>52</v>
      </c>
      <c r="C186" t="s">
        <v>90</v>
      </c>
      <c r="D186" t="s">
        <v>27</v>
      </c>
      <c r="E186" s="13">
        <v>45413</v>
      </c>
      <c r="F186">
        <v>3748647.25427143</v>
      </c>
      <c r="G186" t="s">
        <v>130</v>
      </c>
    </row>
    <row r="187" spans="1:7" x14ac:dyDescent="0.3">
      <c r="A187">
        <v>2530200000</v>
      </c>
      <c r="B187" t="s">
        <v>52</v>
      </c>
      <c r="C187" t="s">
        <v>90</v>
      </c>
      <c r="D187" t="s">
        <v>27</v>
      </c>
      <c r="E187" s="13">
        <v>45444</v>
      </c>
      <c r="F187">
        <v>2917515.7526559499</v>
      </c>
      <c r="G187" t="s">
        <v>130</v>
      </c>
    </row>
    <row r="188" spans="1:7" x14ac:dyDescent="0.3">
      <c r="A188">
        <v>2530200000</v>
      </c>
      <c r="B188" t="s">
        <v>52</v>
      </c>
      <c r="C188" t="s">
        <v>90</v>
      </c>
      <c r="D188" t="s">
        <v>27</v>
      </c>
      <c r="E188" s="13">
        <v>45474</v>
      </c>
      <c r="F188">
        <v>2140880.4458391899</v>
      </c>
      <c r="G188" t="s">
        <v>130</v>
      </c>
    </row>
    <row r="189" spans="1:7" x14ac:dyDescent="0.3">
      <c r="A189">
        <v>2530200000</v>
      </c>
      <c r="B189" t="s">
        <v>52</v>
      </c>
      <c r="C189" t="s">
        <v>90</v>
      </c>
      <c r="D189" t="s">
        <v>27</v>
      </c>
      <c r="E189" s="13">
        <v>45505</v>
      </c>
      <c r="F189">
        <v>2608054.5929596401</v>
      </c>
      <c r="G189" t="s">
        <v>130</v>
      </c>
    </row>
    <row r="190" spans="1:7" x14ac:dyDescent="0.3">
      <c r="A190">
        <v>2530200000</v>
      </c>
      <c r="B190" t="s">
        <v>52</v>
      </c>
      <c r="C190" t="s">
        <v>90</v>
      </c>
      <c r="D190" t="s">
        <v>27</v>
      </c>
      <c r="E190" s="13">
        <v>45536</v>
      </c>
      <c r="F190">
        <v>4996800.53373829</v>
      </c>
      <c r="G190" t="s">
        <v>130</v>
      </c>
    </row>
    <row r="191" spans="1:7" x14ac:dyDescent="0.3">
      <c r="A191">
        <v>2530200000</v>
      </c>
      <c r="B191" t="s">
        <v>52</v>
      </c>
      <c r="C191" t="s">
        <v>90</v>
      </c>
      <c r="D191" t="s">
        <v>27</v>
      </c>
      <c r="E191" s="13">
        <v>45566</v>
      </c>
      <c r="F191">
        <v>4648491.5434395801</v>
      </c>
      <c r="G191" t="s">
        <v>130</v>
      </c>
    </row>
    <row r="192" spans="1:7" x14ac:dyDescent="0.3">
      <c r="A192">
        <v>2530200000</v>
      </c>
      <c r="B192" t="s">
        <v>52</v>
      </c>
      <c r="C192" t="s">
        <v>90</v>
      </c>
      <c r="D192" t="s">
        <v>27</v>
      </c>
      <c r="E192" s="13">
        <v>45597</v>
      </c>
      <c r="F192">
        <v>4971882.11491</v>
      </c>
      <c r="G192" t="s">
        <v>130</v>
      </c>
    </row>
    <row r="193" spans="1:7" x14ac:dyDescent="0.3">
      <c r="A193">
        <v>2530200000</v>
      </c>
      <c r="B193" t="s">
        <v>52</v>
      </c>
      <c r="C193" t="s">
        <v>90</v>
      </c>
      <c r="D193" t="s">
        <v>27</v>
      </c>
      <c r="E193" s="13">
        <v>45627</v>
      </c>
      <c r="F193">
        <v>4596069.27116217</v>
      </c>
      <c r="G193" t="s">
        <v>130</v>
      </c>
    </row>
    <row r="194" spans="1:7" x14ac:dyDescent="0.3">
      <c r="A194">
        <v>2530200000</v>
      </c>
      <c r="B194" t="s">
        <v>52</v>
      </c>
      <c r="C194" t="s">
        <v>90</v>
      </c>
      <c r="D194" t="s">
        <v>27</v>
      </c>
      <c r="E194" s="13">
        <v>45658</v>
      </c>
      <c r="F194">
        <v>0</v>
      </c>
      <c r="G194" t="s">
        <v>130</v>
      </c>
    </row>
    <row r="195" spans="1:7" x14ac:dyDescent="0.3">
      <c r="A195">
        <v>2530200000</v>
      </c>
      <c r="B195" t="s">
        <v>52</v>
      </c>
      <c r="C195" t="s">
        <v>90</v>
      </c>
      <c r="D195" t="s">
        <v>27</v>
      </c>
      <c r="E195" s="13">
        <v>45689</v>
      </c>
      <c r="F195">
        <v>0</v>
      </c>
      <c r="G195" t="s">
        <v>130</v>
      </c>
    </row>
    <row r="196" spans="1:7" x14ac:dyDescent="0.3">
      <c r="A196">
        <v>2530200000</v>
      </c>
      <c r="B196" t="s">
        <v>52</v>
      </c>
      <c r="C196" t="s">
        <v>90</v>
      </c>
      <c r="D196" t="s">
        <v>27</v>
      </c>
      <c r="E196" s="13">
        <v>45717</v>
      </c>
      <c r="F196">
        <v>0</v>
      </c>
      <c r="G196" t="s">
        <v>130</v>
      </c>
    </row>
    <row r="197" spans="1:7" x14ac:dyDescent="0.3">
      <c r="A197">
        <v>2530200000</v>
      </c>
      <c r="B197" t="s">
        <v>52</v>
      </c>
      <c r="C197" t="s">
        <v>90</v>
      </c>
      <c r="D197" t="s">
        <v>27</v>
      </c>
      <c r="E197" s="13">
        <v>45748</v>
      </c>
      <c r="F197">
        <v>0</v>
      </c>
      <c r="G197" t="s">
        <v>130</v>
      </c>
    </row>
    <row r="198" spans="1:7" x14ac:dyDescent="0.3">
      <c r="A198">
        <v>2530200000</v>
      </c>
      <c r="B198" t="s">
        <v>52</v>
      </c>
      <c r="C198" t="s">
        <v>90</v>
      </c>
      <c r="D198" t="s">
        <v>27</v>
      </c>
      <c r="E198" s="13">
        <v>45778</v>
      </c>
      <c r="F198">
        <v>0</v>
      </c>
      <c r="G198" t="s">
        <v>130</v>
      </c>
    </row>
    <row r="199" spans="1:7" x14ac:dyDescent="0.3">
      <c r="A199">
        <v>2530200000</v>
      </c>
      <c r="B199" t="s">
        <v>52</v>
      </c>
      <c r="C199" t="s">
        <v>90</v>
      </c>
      <c r="D199" t="s">
        <v>27</v>
      </c>
      <c r="E199" s="13">
        <v>45809</v>
      </c>
      <c r="F199">
        <v>0</v>
      </c>
      <c r="G199" t="s">
        <v>130</v>
      </c>
    </row>
    <row r="200" spans="1:7" x14ac:dyDescent="0.3">
      <c r="A200">
        <v>2530300000</v>
      </c>
      <c r="B200" t="s">
        <v>54</v>
      </c>
      <c r="C200" t="s">
        <v>90</v>
      </c>
      <c r="D200" t="s">
        <v>27</v>
      </c>
      <c r="E200" s="13">
        <v>45292</v>
      </c>
      <c r="F200">
        <v>154319.04551857401</v>
      </c>
      <c r="G200" t="s">
        <v>131</v>
      </c>
    </row>
    <row r="201" spans="1:7" x14ac:dyDescent="0.3">
      <c r="A201">
        <v>2530300000</v>
      </c>
      <c r="B201" t="s">
        <v>54</v>
      </c>
      <c r="C201" t="s">
        <v>90</v>
      </c>
      <c r="D201" t="s">
        <v>27</v>
      </c>
      <c r="E201" s="13">
        <v>45323</v>
      </c>
      <c r="F201">
        <v>138813.11712648001</v>
      </c>
      <c r="G201" t="s">
        <v>131</v>
      </c>
    </row>
    <row r="202" spans="1:7" x14ac:dyDescent="0.3">
      <c r="A202">
        <v>2530300000</v>
      </c>
      <c r="B202" t="s">
        <v>54</v>
      </c>
      <c r="C202" t="s">
        <v>90</v>
      </c>
      <c r="D202" t="s">
        <v>27</v>
      </c>
      <c r="E202" s="13">
        <v>45352</v>
      </c>
      <c r="F202">
        <v>181299.37930454299</v>
      </c>
      <c r="G202" t="s">
        <v>131</v>
      </c>
    </row>
    <row r="203" spans="1:7" x14ac:dyDescent="0.3">
      <c r="A203">
        <v>2530300000</v>
      </c>
      <c r="B203" t="s">
        <v>54</v>
      </c>
      <c r="C203" t="s">
        <v>90</v>
      </c>
      <c r="D203" t="s">
        <v>27</v>
      </c>
      <c r="E203" s="13">
        <v>45383</v>
      </c>
      <c r="F203">
        <v>177292.37985036799</v>
      </c>
      <c r="G203" t="s">
        <v>131</v>
      </c>
    </row>
    <row r="204" spans="1:7" x14ac:dyDescent="0.3">
      <c r="A204">
        <v>2530300000</v>
      </c>
      <c r="B204" t="s">
        <v>54</v>
      </c>
      <c r="C204" t="s">
        <v>90</v>
      </c>
      <c r="D204" t="s">
        <v>27</v>
      </c>
      <c r="E204" s="13">
        <v>45413</v>
      </c>
      <c r="F204">
        <v>165542.042244874</v>
      </c>
      <c r="G204" t="s">
        <v>131</v>
      </c>
    </row>
    <row r="205" spans="1:7" x14ac:dyDescent="0.3">
      <c r="A205">
        <v>2530300000</v>
      </c>
      <c r="B205" t="s">
        <v>54</v>
      </c>
      <c r="C205" t="s">
        <v>90</v>
      </c>
      <c r="D205" t="s">
        <v>27</v>
      </c>
      <c r="E205" s="13">
        <v>45444</v>
      </c>
      <c r="F205">
        <v>180245.457210775</v>
      </c>
      <c r="G205" t="s">
        <v>131</v>
      </c>
    </row>
    <row r="206" spans="1:7" x14ac:dyDescent="0.3">
      <c r="A206">
        <v>2530300000</v>
      </c>
      <c r="B206" t="s">
        <v>54</v>
      </c>
      <c r="C206" t="s">
        <v>90</v>
      </c>
      <c r="D206" t="s">
        <v>27</v>
      </c>
      <c r="E206" s="13">
        <v>45474</v>
      </c>
      <c r="F206">
        <v>147634.988281767</v>
      </c>
      <c r="G206" t="s">
        <v>131</v>
      </c>
    </row>
    <row r="207" spans="1:7" x14ac:dyDescent="0.3">
      <c r="A207">
        <v>2530300000</v>
      </c>
      <c r="B207" t="s">
        <v>54</v>
      </c>
      <c r="C207" t="s">
        <v>90</v>
      </c>
      <c r="D207" t="s">
        <v>27</v>
      </c>
      <c r="E207" s="13">
        <v>45505</v>
      </c>
      <c r="F207">
        <v>106385.891619228</v>
      </c>
      <c r="G207" t="s">
        <v>131</v>
      </c>
    </row>
    <row r="208" spans="1:7" x14ac:dyDescent="0.3">
      <c r="A208">
        <v>2530300000</v>
      </c>
      <c r="B208" t="s">
        <v>54</v>
      </c>
      <c r="C208" t="s">
        <v>90</v>
      </c>
      <c r="D208" t="s">
        <v>27</v>
      </c>
      <c r="E208" s="13">
        <v>45536</v>
      </c>
      <c r="F208">
        <v>134150.11548119999</v>
      </c>
      <c r="G208" t="s">
        <v>131</v>
      </c>
    </row>
    <row r="209" spans="1:7" x14ac:dyDescent="0.3">
      <c r="A209">
        <v>2530300000</v>
      </c>
      <c r="B209" t="s">
        <v>54</v>
      </c>
      <c r="C209" t="s">
        <v>90</v>
      </c>
      <c r="D209" t="s">
        <v>27</v>
      </c>
      <c r="E209" s="13">
        <v>45566</v>
      </c>
      <c r="F209">
        <v>155344.32453843</v>
      </c>
      <c r="G209" t="s">
        <v>131</v>
      </c>
    </row>
    <row r="210" spans="1:7" x14ac:dyDescent="0.3">
      <c r="A210">
        <v>2530300000</v>
      </c>
      <c r="B210" t="s">
        <v>54</v>
      </c>
      <c r="C210" t="s">
        <v>90</v>
      </c>
      <c r="D210" t="s">
        <v>27</v>
      </c>
      <c r="E210" s="13">
        <v>45597</v>
      </c>
      <c r="F210">
        <v>184420.57522695701</v>
      </c>
      <c r="G210" t="s">
        <v>131</v>
      </c>
    </row>
    <row r="211" spans="1:7" x14ac:dyDescent="0.3">
      <c r="A211">
        <v>2530300000</v>
      </c>
      <c r="B211" t="s">
        <v>54</v>
      </c>
      <c r="C211" t="s">
        <v>90</v>
      </c>
      <c r="D211" t="s">
        <v>27</v>
      </c>
      <c r="E211" s="13">
        <v>45627</v>
      </c>
      <c r="F211">
        <v>175151.39560348599</v>
      </c>
      <c r="G211" t="s">
        <v>131</v>
      </c>
    </row>
    <row r="212" spans="1:7" x14ac:dyDescent="0.3">
      <c r="A212">
        <v>2530300000</v>
      </c>
      <c r="B212" t="s">
        <v>54</v>
      </c>
      <c r="C212" t="s">
        <v>90</v>
      </c>
      <c r="D212" t="s">
        <v>27</v>
      </c>
      <c r="E212" s="13">
        <v>45658</v>
      </c>
      <c r="F212">
        <v>0</v>
      </c>
      <c r="G212" t="s">
        <v>131</v>
      </c>
    </row>
    <row r="213" spans="1:7" x14ac:dyDescent="0.3">
      <c r="A213">
        <v>2530300000</v>
      </c>
      <c r="B213" t="s">
        <v>54</v>
      </c>
      <c r="C213" t="s">
        <v>90</v>
      </c>
      <c r="D213" t="s">
        <v>27</v>
      </c>
      <c r="E213" s="13">
        <v>45689</v>
      </c>
      <c r="F213">
        <v>0</v>
      </c>
      <c r="G213" t="s">
        <v>131</v>
      </c>
    </row>
    <row r="214" spans="1:7" x14ac:dyDescent="0.3">
      <c r="A214">
        <v>2530300000</v>
      </c>
      <c r="B214" t="s">
        <v>54</v>
      </c>
      <c r="C214" t="s">
        <v>90</v>
      </c>
      <c r="D214" t="s">
        <v>27</v>
      </c>
      <c r="E214" s="13">
        <v>45717</v>
      </c>
      <c r="F214">
        <v>0</v>
      </c>
      <c r="G214" t="s">
        <v>131</v>
      </c>
    </row>
    <row r="215" spans="1:7" x14ac:dyDescent="0.3">
      <c r="A215">
        <v>2530300000</v>
      </c>
      <c r="B215" t="s">
        <v>54</v>
      </c>
      <c r="C215" t="s">
        <v>90</v>
      </c>
      <c r="D215" t="s">
        <v>27</v>
      </c>
      <c r="E215" s="13">
        <v>45748</v>
      </c>
      <c r="F215">
        <v>0</v>
      </c>
      <c r="G215" t="s">
        <v>131</v>
      </c>
    </row>
    <row r="216" spans="1:7" x14ac:dyDescent="0.3">
      <c r="A216">
        <v>2530300000</v>
      </c>
      <c r="B216" t="s">
        <v>54</v>
      </c>
      <c r="C216" t="s">
        <v>90</v>
      </c>
      <c r="D216" t="s">
        <v>27</v>
      </c>
      <c r="E216" s="13">
        <v>45778</v>
      </c>
      <c r="F216">
        <v>0</v>
      </c>
      <c r="G216" t="s">
        <v>131</v>
      </c>
    </row>
    <row r="217" spans="1:7" x14ac:dyDescent="0.3">
      <c r="A217">
        <v>2530300000</v>
      </c>
      <c r="B217" t="s">
        <v>54</v>
      </c>
      <c r="C217" t="s">
        <v>90</v>
      </c>
      <c r="D217" t="s">
        <v>27</v>
      </c>
      <c r="E217" s="13">
        <v>45809</v>
      </c>
      <c r="F217">
        <v>0</v>
      </c>
      <c r="G217" t="s">
        <v>131</v>
      </c>
    </row>
    <row r="218" spans="1:7" x14ac:dyDescent="0.3">
      <c r="A218">
        <v>2400210100</v>
      </c>
      <c r="B218" t="s">
        <v>48</v>
      </c>
      <c r="C218" t="s">
        <v>91</v>
      </c>
      <c r="D218" t="s">
        <v>18</v>
      </c>
      <c r="E218" s="13">
        <v>45292</v>
      </c>
      <c r="F218">
        <v>1523819.5431297999</v>
      </c>
      <c r="G218" t="s">
        <v>132</v>
      </c>
    </row>
    <row r="219" spans="1:7" x14ac:dyDescent="0.3">
      <c r="A219">
        <v>2400210100</v>
      </c>
      <c r="B219" t="s">
        <v>48</v>
      </c>
      <c r="C219" t="s">
        <v>91</v>
      </c>
      <c r="D219" t="s">
        <v>18</v>
      </c>
      <c r="E219" s="13">
        <v>45323</v>
      </c>
      <c r="F219">
        <v>1531111.15752745</v>
      </c>
      <c r="G219" t="s">
        <v>132</v>
      </c>
    </row>
    <row r="220" spans="1:7" x14ac:dyDescent="0.3">
      <c r="A220">
        <v>2400210100</v>
      </c>
      <c r="B220" t="s">
        <v>48</v>
      </c>
      <c r="C220" t="s">
        <v>91</v>
      </c>
      <c r="D220" t="s">
        <v>18</v>
      </c>
      <c r="E220" s="13">
        <v>45352</v>
      </c>
      <c r="F220">
        <v>1521637.4677494401</v>
      </c>
      <c r="G220" t="s">
        <v>132</v>
      </c>
    </row>
    <row r="221" spans="1:7" x14ac:dyDescent="0.3">
      <c r="A221">
        <v>2400210100</v>
      </c>
      <c r="B221" t="s">
        <v>48</v>
      </c>
      <c r="C221" t="s">
        <v>91</v>
      </c>
      <c r="D221" t="s">
        <v>18</v>
      </c>
      <c r="E221" s="13">
        <v>45383</v>
      </c>
      <c r="F221">
        <v>1512990.64294206</v>
      </c>
      <c r="G221" t="s">
        <v>132</v>
      </c>
    </row>
    <row r="222" spans="1:7" x14ac:dyDescent="0.3">
      <c r="A222">
        <v>2400210100</v>
      </c>
      <c r="B222" t="s">
        <v>48</v>
      </c>
      <c r="C222" t="s">
        <v>91</v>
      </c>
      <c r="D222" t="s">
        <v>18</v>
      </c>
      <c r="E222" s="13">
        <v>45413</v>
      </c>
      <c r="F222">
        <v>1508750.0401583901</v>
      </c>
      <c r="G222" t="s">
        <v>132</v>
      </c>
    </row>
    <row r="223" spans="1:7" x14ac:dyDescent="0.3">
      <c r="A223">
        <v>2400210100</v>
      </c>
      <c r="B223" t="s">
        <v>48</v>
      </c>
      <c r="C223" t="s">
        <v>91</v>
      </c>
      <c r="D223" t="s">
        <v>18</v>
      </c>
      <c r="E223" s="13">
        <v>45444</v>
      </c>
      <c r="F223">
        <v>1508440.16846768</v>
      </c>
      <c r="G223" t="s">
        <v>132</v>
      </c>
    </row>
    <row r="224" spans="1:7" x14ac:dyDescent="0.3">
      <c r="A224">
        <v>2400210100</v>
      </c>
      <c r="B224" t="s">
        <v>48</v>
      </c>
      <c r="C224" t="s">
        <v>91</v>
      </c>
      <c r="D224" t="s">
        <v>18</v>
      </c>
      <c r="E224" s="13">
        <v>45474</v>
      </c>
      <c r="F224">
        <v>1507887.83832446</v>
      </c>
      <c r="G224" t="s">
        <v>132</v>
      </c>
    </row>
    <row r="225" spans="1:7" x14ac:dyDescent="0.3">
      <c r="A225">
        <v>2400210100</v>
      </c>
      <c r="B225" t="s">
        <v>48</v>
      </c>
      <c r="C225" t="s">
        <v>91</v>
      </c>
      <c r="D225" t="s">
        <v>18</v>
      </c>
      <c r="E225" s="13">
        <v>45505</v>
      </c>
      <c r="F225">
        <v>1511575.28852341</v>
      </c>
      <c r="G225" t="s">
        <v>132</v>
      </c>
    </row>
    <row r="226" spans="1:7" x14ac:dyDescent="0.3">
      <c r="A226">
        <v>2400210100</v>
      </c>
      <c r="B226" t="s">
        <v>48</v>
      </c>
      <c r="C226" t="s">
        <v>91</v>
      </c>
      <c r="D226" t="s">
        <v>18</v>
      </c>
      <c r="E226" s="13">
        <v>45536</v>
      </c>
      <c r="F226">
        <v>1540696.4491838899</v>
      </c>
      <c r="G226" t="s">
        <v>132</v>
      </c>
    </row>
    <row r="227" spans="1:7" x14ac:dyDescent="0.3">
      <c r="A227">
        <v>2400210100</v>
      </c>
      <c r="B227" t="s">
        <v>48</v>
      </c>
      <c r="C227" t="s">
        <v>91</v>
      </c>
      <c r="D227" t="s">
        <v>18</v>
      </c>
      <c r="E227" s="13">
        <v>45566</v>
      </c>
      <c r="F227">
        <v>1547838.7569218599</v>
      </c>
      <c r="G227" t="s">
        <v>132</v>
      </c>
    </row>
    <row r="228" spans="1:7" x14ac:dyDescent="0.3">
      <c r="A228">
        <v>2400210100</v>
      </c>
      <c r="B228" t="s">
        <v>48</v>
      </c>
      <c r="C228" t="s">
        <v>91</v>
      </c>
      <c r="D228" t="s">
        <v>18</v>
      </c>
      <c r="E228" s="13">
        <v>45597</v>
      </c>
      <c r="F228">
        <v>1548569.43552806</v>
      </c>
      <c r="G228" t="s">
        <v>132</v>
      </c>
    </row>
    <row r="229" spans="1:7" x14ac:dyDescent="0.3">
      <c r="A229">
        <v>2400210100</v>
      </c>
      <c r="B229" t="s">
        <v>48</v>
      </c>
      <c r="C229" t="s">
        <v>91</v>
      </c>
      <c r="D229" t="s">
        <v>18</v>
      </c>
      <c r="E229" s="13">
        <v>45627</v>
      </c>
      <c r="F229">
        <v>1550788.67548799</v>
      </c>
      <c r="G229" t="s">
        <v>132</v>
      </c>
    </row>
    <row r="230" spans="1:7" x14ac:dyDescent="0.3">
      <c r="A230">
        <v>2400210100</v>
      </c>
      <c r="B230" t="s">
        <v>48</v>
      </c>
      <c r="C230" t="s">
        <v>91</v>
      </c>
      <c r="D230" t="s">
        <v>18</v>
      </c>
      <c r="E230" s="13">
        <v>45658</v>
      </c>
      <c r="F230">
        <v>0</v>
      </c>
      <c r="G230" t="s">
        <v>132</v>
      </c>
    </row>
    <row r="231" spans="1:7" x14ac:dyDescent="0.3">
      <c r="A231">
        <v>2400210100</v>
      </c>
      <c r="B231" t="s">
        <v>48</v>
      </c>
      <c r="C231" t="s">
        <v>91</v>
      </c>
      <c r="D231" t="s">
        <v>18</v>
      </c>
      <c r="E231" s="13">
        <v>45689</v>
      </c>
      <c r="F231">
        <v>0</v>
      </c>
      <c r="G231" t="s">
        <v>132</v>
      </c>
    </row>
    <row r="232" spans="1:7" x14ac:dyDescent="0.3">
      <c r="A232">
        <v>2400210100</v>
      </c>
      <c r="B232" t="s">
        <v>48</v>
      </c>
      <c r="C232" t="s">
        <v>91</v>
      </c>
      <c r="D232" t="s">
        <v>18</v>
      </c>
      <c r="E232" s="13">
        <v>45717</v>
      </c>
      <c r="F232">
        <v>0</v>
      </c>
      <c r="G232" t="s">
        <v>132</v>
      </c>
    </row>
    <row r="233" spans="1:7" x14ac:dyDescent="0.3">
      <c r="A233">
        <v>2400210100</v>
      </c>
      <c r="B233" t="s">
        <v>48</v>
      </c>
      <c r="C233" t="s">
        <v>91</v>
      </c>
      <c r="D233" t="s">
        <v>18</v>
      </c>
      <c r="E233" s="13">
        <v>45748</v>
      </c>
      <c r="F233">
        <v>0</v>
      </c>
      <c r="G233" t="s">
        <v>132</v>
      </c>
    </row>
    <row r="234" spans="1:7" x14ac:dyDescent="0.3">
      <c r="A234">
        <v>2400210100</v>
      </c>
      <c r="B234" t="s">
        <v>48</v>
      </c>
      <c r="C234" t="s">
        <v>91</v>
      </c>
      <c r="D234" t="s">
        <v>18</v>
      </c>
      <c r="E234" s="13">
        <v>45778</v>
      </c>
      <c r="F234">
        <v>0</v>
      </c>
      <c r="G234" t="s">
        <v>132</v>
      </c>
    </row>
    <row r="235" spans="1:7" x14ac:dyDescent="0.3">
      <c r="A235">
        <v>2400210100</v>
      </c>
      <c r="B235" t="s">
        <v>48</v>
      </c>
      <c r="C235" t="s">
        <v>91</v>
      </c>
      <c r="D235" t="s">
        <v>18</v>
      </c>
      <c r="E235" s="13">
        <v>45809</v>
      </c>
      <c r="F235">
        <v>0</v>
      </c>
      <c r="G235" t="s">
        <v>132</v>
      </c>
    </row>
    <row r="236" spans="1:7" x14ac:dyDescent="0.3">
      <c r="A236">
        <v>2400210200</v>
      </c>
      <c r="B236" t="s">
        <v>30</v>
      </c>
      <c r="C236" t="s">
        <v>91</v>
      </c>
      <c r="D236" t="s">
        <v>18</v>
      </c>
      <c r="E236" s="13">
        <v>45292</v>
      </c>
      <c r="F236">
        <v>407.01102750000001</v>
      </c>
      <c r="G236" t="s">
        <v>133</v>
      </c>
    </row>
    <row r="237" spans="1:7" x14ac:dyDescent="0.3">
      <c r="A237">
        <v>2400210200</v>
      </c>
      <c r="B237" t="s">
        <v>30</v>
      </c>
      <c r="C237" t="s">
        <v>91</v>
      </c>
      <c r="D237" t="s">
        <v>18</v>
      </c>
      <c r="E237" s="13">
        <v>45323</v>
      </c>
      <c r="F237">
        <v>429.9827298921</v>
      </c>
      <c r="G237" t="s">
        <v>133</v>
      </c>
    </row>
    <row r="238" spans="1:7" x14ac:dyDescent="0.3">
      <c r="A238">
        <v>2400210200</v>
      </c>
      <c r="B238" t="s">
        <v>30</v>
      </c>
      <c r="C238" t="s">
        <v>91</v>
      </c>
      <c r="D238" t="s">
        <v>18</v>
      </c>
      <c r="E238" s="13">
        <v>45352</v>
      </c>
      <c r="F238">
        <v>15309.256958587501</v>
      </c>
      <c r="G238" t="s">
        <v>133</v>
      </c>
    </row>
    <row r="239" spans="1:7" x14ac:dyDescent="0.3">
      <c r="A239">
        <v>2400210200</v>
      </c>
      <c r="B239" t="s">
        <v>30</v>
      </c>
      <c r="C239" t="s">
        <v>91</v>
      </c>
      <c r="D239" t="s">
        <v>18</v>
      </c>
      <c r="E239" s="13">
        <v>45383</v>
      </c>
      <c r="F239">
        <v>582.63859500000001</v>
      </c>
      <c r="G239" t="s">
        <v>133</v>
      </c>
    </row>
    <row r="240" spans="1:7" x14ac:dyDescent="0.3">
      <c r="A240">
        <v>2400210200</v>
      </c>
      <c r="B240" t="s">
        <v>30</v>
      </c>
      <c r="C240" t="s">
        <v>91</v>
      </c>
      <c r="D240" t="s">
        <v>18</v>
      </c>
      <c r="E240" s="13">
        <v>45413</v>
      </c>
      <c r="F240">
        <v>637.25738999999999</v>
      </c>
      <c r="G240" t="s">
        <v>133</v>
      </c>
    </row>
    <row r="241" spans="1:7" x14ac:dyDescent="0.3">
      <c r="A241">
        <v>2400210200</v>
      </c>
      <c r="B241" t="s">
        <v>30</v>
      </c>
      <c r="C241" t="s">
        <v>91</v>
      </c>
      <c r="D241" t="s">
        <v>18</v>
      </c>
      <c r="E241" s="13">
        <v>45444</v>
      </c>
      <c r="F241">
        <v>9051.0419999999995</v>
      </c>
      <c r="G241" t="s">
        <v>133</v>
      </c>
    </row>
    <row r="242" spans="1:7" x14ac:dyDescent="0.3">
      <c r="A242">
        <v>2400210200</v>
      </c>
      <c r="B242" t="s">
        <v>30</v>
      </c>
      <c r="C242" t="s">
        <v>91</v>
      </c>
      <c r="D242" t="s">
        <v>18</v>
      </c>
      <c r="E242" s="13">
        <v>45474</v>
      </c>
      <c r="F242">
        <v>379.34589</v>
      </c>
      <c r="G242" t="s">
        <v>133</v>
      </c>
    </row>
    <row r="243" spans="1:7" x14ac:dyDescent="0.3">
      <c r="A243">
        <v>2400210200</v>
      </c>
      <c r="B243" t="s">
        <v>30</v>
      </c>
      <c r="C243" t="s">
        <v>91</v>
      </c>
      <c r="D243" t="s">
        <v>18</v>
      </c>
      <c r="E243" s="13">
        <v>45505</v>
      </c>
      <c r="F243">
        <v>890.07291450000002</v>
      </c>
      <c r="G243" t="s">
        <v>133</v>
      </c>
    </row>
    <row r="244" spans="1:7" x14ac:dyDescent="0.3">
      <c r="A244">
        <v>2400210200</v>
      </c>
      <c r="B244" t="s">
        <v>30</v>
      </c>
      <c r="C244" t="s">
        <v>91</v>
      </c>
      <c r="D244" t="s">
        <v>18</v>
      </c>
      <c r="E244" s="13">
        <v>45536</v>
      </c>
      <c r="F244">
        <v>26666.753189999999</v>
      </c>
      <c r="G244" t="s">
        <v>133</v>
      </c>
    </row>
    <row r="245" spans="1:7" x14ac:dyDescent="0.3">
      <c r="A245">
        <v>2400210200</v>
      </c>
      <c r="B245" t="s">
        <v>30</v>
      </c>
      <c r="C245" t="s">
        <v>91</v>
      </c>
      <c r="D245" t="s">
        <v>18</v>
      </c>
      <c r="E245" s="13">
        <v>45566</v>
      </c>
      <c r="F245">
        <v>527.99438999999995</v>
      </c>
      <c r="G245" t="s">
        <v>133</v>
      </c>
    </row>
    <row r="246" spans="1:7" x14ac:dyDescent="0.3">
      <c r="A246">
        <v>2400210200</v>
      </c>
      <c r="B246" t="s">
        <v>30</v>
      </c>
      <c r="C246" t="s">
        <v>91</v>
      </c>
      <c r="D246" t="s">
        <v>18</v>
      </c>
      <c r="E246" s="13">
        <v>45597</v>
      </c>
      <c r="F246">
        <v>441.87990000000002</v>
      </c>
      <c r="G246" t="s">
        <v>133</v>
      </c>
    </row>
    <row r="247" spans="1:7" x14ac:dyDescent="0.3">
      <c r="A247">
        <v>2400210200</v>
      </c>
      <c r="B247" t="s">
        <v>30</v>
      </c>
      <c r="C247" t="s">
        <v>91</v>
      </c>
      <c r="D247" t="s">
        <v>18</v>
      </c>
      <c r="E247" s="13">
        <v>45627</v>
      </c>
      <c r="F247">
        <v>89019.466333874996</v>
      </c>
      <c r="G247" t="s">
        <v>133</v>
      </c>
    </row>
    <row r="248" spans="1:7" x14ac:dyDescent="0.3">
      <c r="A248">
        <v>2400210200</v>
      </c>
      <c r="B248" t="s">
        <v>30</v>
      </c>
      <c r="C248" t="s">
        <v>91</v>
      </c>
      <c r="D248" t="s">
        <v>18</v>
      </c>
      <c r="E248" s="13">
        <v>45658</v>
      </c>
      <c r="F248">
        <v>0</v>
      </c>
      <c r="G248" t="s">
        <v>133</v>
      </c>
    </row>
    <row r="249" spans="1:7" x14ac:dyDescent="0.3">
      <c r="A249">
        <v>2400210200</v>
      </c>
      <c r="B249" t="s">
        <v>30</v>
      </c>
      <c r="C249" t="s">
        <v>91</v>
      </c>
      <c r="D249" t="s">
        <v>18</v>
      </c>
      <c r="E249" s="13">
        <v>45689</v>
      </c>
      <c r="F249">
        <v>0</v>
      </c>
      <c r="G249" t="s">
        <v>133</v>
      </c>
    </row>
    <row r="250" spans="1:7" x14ac:dyDescent="0.3">
      <c r="A250">
        <v>2400210200</v>
      </c>
      <c r="B250" t="s">
        <v>30</v>
      </c>
      <c r="C250" t="s">
        <v>91</v>
      </c>
      <c r="D250" t="s">
        <v>18</v>
      </c>
      <c r="E250" s="13">
        <v>45717</v>
      </c>
      <c r="F250">
        <v>0</v>
      </c>
      <c r="G250" t="s">
        <v>133</v>
      </c>
    </row>
    <row r="251" spans="1:7" x14ac:dyDescent="0.3">
      <c r="A251">
        <v>2400210200</v>
      </c>
      <c r="B251" t="s">
        <v>30</v>
      </c>
      <c r="C251" t="s">
        <v>91</v>
      </c>
      <c r="D251" t="s">
        <v>18</v>
      </c>
      <c r="E251" s="13">
        <v>45748</v>
      </c>
      <c r="F251">
        <v>0</v>
      </c>
      <c r="G251" t="s">
        <v>133</v>
      </c>
    </row>
    <row r="252" spans="1:7" x14ac:dyDescent="0.3">
      <c r="A252">
        <v>2400210200</v>
      </c>
      <c r="B252" t="s">
        <v>30</v>
      </c>
      <c r="C252" t="s">
        <v>91</v>
      </c>
      <c r="D252" t="s">
        <v>18</v>
      </c>
      <c r="E252" s="13">
        <v>45778</v>
      </c>
      <c r="F252">
        <v>0</v>
      </c>
      <c r="G252" t="s">
        <v>133</v>
      </c>
    </row>
    <row r="253" spans="1:7" x14ac:dyDescent="0.3">
      <c r="A253">
        <v>2400210200</v>
      </c>
      <c r="B253" t="s">
        <v>30</v>
      </c>
      <c r="C253" t="s">
        <v>91</v>
      </c>
      <c r="D253" t="s">
        <v>18</v>
      </c>
      <c r="E253" s="13">
        <v>45809</v>
      </c>
      <c r="F253">
        <v>0</v>
      </c>
      <c r="G253" t="s">
        <v>133</v>
      </c>
    </row>
    <row r="254" spans="1:7" x14ac:dyDescent="0.3">
      <c r="A254">
        <v>2400210120</v>
      </c>
      <c r="B254" t="s">
        <v>31</v>
      </c>
      <c r="C254" t="s">
        <v>91</v>
      </c>
      <c r="D254" t="s">
        <v>18</v>
      </c>
      <c r="E254" s="13">
        <v>45292</v>
      </c>
      <c r="F254">
        <v>30909.524543259598</v>
      </c>
      <c r="G254" t="s">
        <v>134</v>
      </c>
    </row>
    <row r="255" spans="1:7" x14ac:dyDescent="0.3">
      <c r="A255">
        <v>2400210120</v>
      </c>
      <c r="B255" t="s">
        <v>31</v>
      </c>
      <c r="C255" t="s">
        <v>91</v>
      </c>
      <c r="D255" t="s">
        <v>18</v>
      </c>
      <c r="E255" s="13">
        <v>45323</v>
      </c>
      <c r="F255">
        <v>31057.429415066901</v>
      </c>
      <c r="G255" t="s">
        <v>134</v>
      </c>
    </row>
    <row r="256" spans="1:7" x14ac:dyDescent="0.3">
      <c r="A256">
        <v>2400210120</v>
      </c>
      <c r="B256" t="s">
        <v>31</v>
      </c>
      <c r="C256" t="s">
        <v>91</v>
      </c>
      <c r="D256" t="s">
        <v>18</v>
      </c>
      <c r="E256" s="13">
        <v>45352</v>
      </c>
      <c r="F256">
        <v>30865.262797944299</v>
      </c>
      <c r="G256" t="s">
        <v>134</v>
      </c>
    </row>
    <row r="257" spans="1:7" x14ac:dyDescent="0.3">
      <c r="A257">
        <v>2400210120</v>
      </c>
      <c r="B257" t="s">
        <v>31</v>
      </c>
      <c r="C257" t="s">
        <v>91</v>
      </c>
      <c r="D257" t="s">
        <v>18</v>
      </c>
      <c r="E257" s="13">
        <v>45383</v>
      </c>
      <c r="F257">
        <v>30689.8685100775</v>
      </c>
      <c r="G257" t="s">
        <v>134</v>
      </c>
    </row>
    <row r="258" spans="1:7" x14ac:dyDescent="0.3">
      <c r="A258">
        <v>2400210120</v>
      </c>
      <c r="B258" t="s">
        <v>31</v>
      </c>
      <c r="C258" t="s">
        <v>91</v>
      </c>
      <c r="D258" t="s">
        <v>18</v>
      </c>
      <c r="E258" s="13">
        <v>45413</v>
      </c>
      <c r="F258">
        <v>30603.851096525301</v>
      </c>
      <c r="G258" t="s">
        <v>134</v>
      </c>
    </row>
    <row r="259" spans="1:7" x14ac:dyDescent="0.3">
      <c r="A259">
        <v>2400210120</v>
      </c>
      <c r="B259" t="s">
        <v>31</v>
      </c>
      <c r="C259" t="s">
        <v>91</v>
      </c>
      <c r="D259" t="s">
        <v>18</v>
      </c>
      <c r="E259" s="13">
        <v>45444</v>
      </c>
      <c r="F259">
        <v>30597.565584128199</v>
      </c>
      <c r="G259" t="s">
        <v>134</v>
      </c>
    </row>
    <row r="260" spans="1:7" x14ac:dyDescent="0.3">
      <c r="A260">
        <v>2400210120</v>
      </c>
      <c r="B260" t="s">
        <v>31</v>
      </c>
      <c r="C260" t="s">
        <v>91</v>
      </c>
      <c r="D260" t="s">
        <v>18</v>
      </c>
      <c r="E260" s="13">
        <v>45474</v>
      </c>
      <c r="F260">
        <v>30586.361985779102</v>
      </c>
      <c r="G260" t="s">
        <v>134</v>
      </c>
    </row>
    <row r="261" spans="1:7" x14ac:dyDescent="0.3">
      <c r="A261">
        <v>2400210120</v>
      </c>
      <c r="B261" t="s">
        <v>31</v>
      </c>
      <c r="C261" t="s">
        <v>91</v>
      </c>
      <c r="D261" t="s">
        <v>18</v>
      </c>
      <c r="E261" s="13">
        <v>45505</v>
      </c>
      <c r="F261">
        <v>30661.159118379401</v>
      </c>
      <c r="G261" t="s">
        <v>134</v>
      </c>
    </row>
    <row r="262" spans="1:7" x14ac:dyDescent="0.3">
      <c r="A262">
        <v>2400210120</v>
      </c>
      <c r="B262" t="s">
        <v>31</v>
      </c>
      <c r="C262" t="s">
        <v>91</v>
      </c>
      <c r="D262" t="s">
        <v>18</v>
      </c>
      <c r="E262" s="13">
        <v>45536</v>
      </c>
      <c r="F262">
        <v>31251.859791711398</v>
      </c>
      <c r="G262" t="s">
        <v>134</v>
      </c>
    </row>
    <row r="263" spans="1:7" x14ac:dyDescent="0.3">
      <c r="A263">
        <v>2400210120</v>
      </c>
      <c r="B263" t="s">
        <v>31</v>
      </c>
      <c r="C263" t="s">
        <v>91</v>
      </c>
      <c r="D263" t="s">
        <v>18</v>
      </c>
      <c r="E263" s="13">
        <v>45566</v>
      </c>
      <c r="F263">
        <v>31396.7360910854</v>
      </c>
      <c r="G263" t="s">
        <v>134</v>
      </c>
    </row>
    <row r="264" spans="1:7" x14ac:dyDescent="0.3">
      <c r="A264">
        <v>2400210120</v>
      </c>
      <c r="B264" t="s">
        <v>31</v>
      </c>
      <c r="C264" t="s">
        <v>91</v>
      </c>
      <c r="D264" t="s">
        <v>18</v>
      </c>
      <c r="E264" s="13">
        <v>45597</v>
      </c>
      <c r="F264">
        <v>31411.557352837401</v>
      </c>
      <c r="G264" t="s">
        <v>134</v>
      </c>
    </row>
    <row r="265" spans="1:7" x14ac:dyDescent="0.3">
      <c r="A265">
        <v>2400210120</v>
      </c>
      <c r="B265" t="s">
        <v>31</v>
      </c>
      <c r="C265" t="s">
        <v>91</v>
      </c>
      <c r="D265" t="s">
        <v>18</v>
      </c>
      <c r="E265" s="13">
        <v>45627</v>
      </c>
      <c r="F265">
        <v>31456.572953482701</v>
      </c>
      <c r="G265" t="s">
        <v>134</v>
      </c>
    </row>
    <row r="266" spans="1:7" x14ac:dyDescent="0.3">
      <c r="A266">
        <v>2400210120</v>
      </c>
      <c r="B266" t="s">
        <v>31</v>
      </c>
      <c r="C266" t="s">
        <v>91</v>
      </c>
      <c r="D266" t="s">
        <v>18</v>
      </c>
      <c r="E266" s="13">
        <v>45658</v>
      </c>
      <c r="F266">
        <v>0</v>
      </c>
      <c r="G266" t="s">
        <v>134</v>
      </c>
    </row>
    <row r="267" spans="1:7" x14ac:dyDescent="0.3">
      <c r="A267">
        <v>2400210120</v>
      </c>
      <c r="B267" t="s">
        <v>31</v>
      </c>
      <c r="C267" t="s">
        <v>91</v>
      </c>
      <c r="D267" t="s">
        <v>18</v>
      </c>
      <c r="E267" s="13">
        <v>45689</v>
      </c>
      <c r="F267">
        <v>0</v>
      </c>
      <c r="G267" t="s">
        <v>134</v>
      </c>
    </row>
    <row r="268" spans="1:7" x14ac:dyDescent="0.3">
      <c r="A268">
        <v>2400210120</v>
      </c>
      <c r="B268" t="s">
        <v>31</v>
      </c>
      <c r="C268" t="s">
        <v>91</v>
      </c>
      <c r="D268" t="s">
        <v>18</v>
      </c>
      <c r="E268" s="13">
        <v>45717</v>
      </c>
      <c r="F268">
        <v>0</v>
      </c>
      <c r="G268" t="s">
        <v>134</v>
      </c>
    </row>
    <row r="269" spans="1:7" x14ac:dyDescent="0.3">
      <c r="A269">
        <v>2400210120</v>
      </c>
      <c r="B269" t="s">
        <v>31</v>
      </c>
      <c r="C269" t="s">
        <v>91</v>
      </c>
      <c r="D269" t="s">
        <v>18</v>
      </c>
      <c r="E269" s="13">
        <v>45748</v>
      </c>
      <c r="F269">
        <v>0</v>
      </c>
      <c r="G269" t="s">
        <v>134</v>
      </c>
    </row>
    <row r="270" spans="1:7" x14ac:dyDescent="0.3">
      <c r="A270">
        <v>2400210120</v>
      </c>
      <c r="B270" t="s">
        <v>31</v>
      </c>
      <c r="C270" t="s">
        <v>91</v>
      </c>
      <c r="D270" t="s">
        <v>18</v>
      </c>
      <c r="E270" s="13">
        <v>45778</v>
      </c>
      <c r="F270">
        <v>0</v>
      </c>
      <c r="G270" t="s">
        <v>134</v>
      </c>
    </row>
    <row r="271" spans="1:7" x14ac:dyDescent="0.3">
      <c r="A271">
        <v>2400210120</v>
      </c>
      <c r="B271" t="s">
        <v>31</v>
      </c>
      <c r="C271" t="s">
        <v>91</v>
      </c>
      <c r="D271" t="s">
        <v>18</v>
      </c>
      <c r="E271" s="13">
        <v>45809</v>
      </c>
      <c r="F271">
        <v>0</v>
      </c>
      <c r="G271" t="s">
        <v>134</v>
      </c>
    </row>
    <row r="272" spans="1:7" x14ac:dyDescent="0.3">
      <c r="A272">
        <v>2546100100</v>
      </c>
      <c r="B272" t="s">
        <v>32</v>
      </c>
      <c r="C272" t="s">
        <v>91</v>
      </c>
      <c r="D272" t="s">
        <v>17</v>
      </c>
      <c r="E272" s="13">
        <v>45292</v>
      </c>
      <c r="F272">
        <v>358802.71282625</v>
      </c>
      <c r="G272" t="s">
        <v>135</v>
      </c>
    </row>
    <row r="273" spans="1:7" x14ac:dyDescent="0.3">
      <c r="A273">
        <v>2546100100</v>
      </c>
      <c r="B273" t="s">
        <v>32</v>
      </c>
      <c r="C273" t="s">
        <v>91</v>
      </c>
      <c r="D273" t="s">
        <v>17</v>
      </c>
      <c r="E273" s="13">
        <v>45323</v>
      </c>
      <c r="F273">
        <v>376107.33455077797</v>
      </c>
      <c r="G273" t="s">
        <v>135</v>
      </c>
    </row>
    <row r="274" spans="1:7" x14ac:dyDescent="0.3">
      <c r="A274">
        <v>2546100100</v>
      </c>
      <c r="B274" t="s">
        <v>32</v>
      </c>
      <c r="C274" t="s">
        <v>91</v>
      </c>
      <c r="D274" t="s">
        <v>17</v>
      </c>
      <c r="E274" s="13">
        <v>45352</v>
      </c>
      <c r="F274">
        <v>445681.77704020799</v>
      </c>
      <c r="G274" t="s">
        <v>135</v>
      </c>
    </row>
    <row r="275" spans="1:7" x14ac:dyDescent="0.3">
      <c r="A275">
        <v>2546100100</v>
      </c>
      <c r="B275" t="s">
        <v>32</v>
      </c>
      <c r="C275" t="s">
        <v>91</v>
      </c>
      <c r="D275" t="s">
        <v>17</v>
      </c>
      <c r="E275" s="13">
        <v>45383</v>
      </c>
      <c r="F275">
        <v>475436.64132128202</v>
      </c>
      <c r="G275" t="s">
        <v>135</v>
      </c>
    </row>
    <row r="276" spans="1:7" x14ac:dyDescent="0.3">
      <c r="A276">
        <v>2546100100</v>
      </c>
      <c r="B276" t="s">
        <v>32</v>
      </c>
      <c r="C276" t="s">
        <v>91</v>
      </c>
      <c r="D276" t="s">
        <v>17</v>
      </c>
      <c r="E276" s="13">
        <v>45413</v>
      </c>
      <c r="F276">
        <v>384962.224185</v>
      </c>
      <c r="G276" t="s">
        <v>135</v>
      </c>
    </row>
    <row r="277" spans="1:7" x14ac:dyDescent="0.3">
      <c r="A277">
        <v>2546100100</v>
      </c>
      <c r="B277" t="s">
        <v>32</v>
      </c>
      <c r="C277" t="s">
        <v>91</v>
      </c>
      <c r="D277" t="s">
        <v>17</v>
      </c>
      <c r="E277" s="13">
        <v>45444</v>
      </c>
      <c r="F277">
        <v>366630.68969999999</v>
      </c>
      <c r="G277" t="s">
        <v>135</v>
      </c>
    </row>
    <row r="278" spans="1:7" x14ac:dyDescent="0.3">
      <c r="A278">
        <v>2546100100</v>
      </c>
      <c r="B278" t="s">
        <v>32</v>
      </c>
      <c r="C278" t="s">
        <v>91</v>
      </c>
      <c r="D278" t="s">
        <v>17</v>
      </c>
      <c r="E278" s="13">
        <v>45474</v>
      </c>
      <c r="F278">
        <v>268498.33129350003</v>
      </c>
      <c r="G278" t="s">
        <v>135</v>
      </c>
    </row>
    <row r="279" spans="1:7" x14ac:dyDescent="0.3">
      <c r="A279">
        <v>2546100100</v>
      </c>
      <c r="B279" t="s">
        <v>32</v>
      </c>
      <c r="C279" t="s">
        <v>91</v>
      </c>
      <c r="D279" t="s">
        <v>17</v>
      </c>
      <c r="E279" s="13">
        <v>45505</v>
      </c>
      <c r="F279">
        <v>227638.34806683401</v>
      </c>
      <c r="G279" t="s">
        <v>135</v>
      </c>
    </row>
    <row r="280" spans="1:7" x14ac:dyDescent="0.3">
      <c r="A280">
        <v>2546100100</v>
      </c>
      <c r="B280" t="s">
        <v>32</v>
      </c>
      <c r="C280" t="s">
        <v>91</v>
      </c>
      <c r="D280" t="s">
        <v>17</v>
      </c>
      <c r="E280" s="13">
        <v>45536</v>
      </c>
      <c r="F280">
        <v>413490.11320278002</v>
      </c>
      <c r="G280" t="s">
        <v>135</v>
      </c>
    </row>
    <row r="281" spans="1:7" x14ac:dyDescent="0.3">
      <c r="A281">
        <v>2546100100</v>
      </c>
      <c r="B281" t="s">
        <v>32</v>
      </c>
      <c r="C281" t="s">
        <v>91</v>
      </c>
      <c r="D281" t="s">
        <v>17</v>
      </c>
      <c r="E281" s="13">
        <v>45566</v>
      </c>
      <c r="F281">
        <v>381830.94645313802</v>
      </c>
      <c r="G281" t="s">
        <v>135</v>
      </c>
    </row>
    <row r="282" spans="1:7" x14ac:dyDescent="0.3">
      <c r="A282">
        <v>2546100100</v>
      </c>
      <c r="B282" t="s">
        <v>32</v>
      </c>
      <c r="C282" t="s">
        <v>91</v>
      </c>
      <c r="D282" t="s">
        <v>17</v>
      </c>
      <c r="E282" s="13">
        <v>45597</v>
      </c>
      <c r="F282">
        <v>394643.55968815699</v>
      </c>
      <c r="G282" t="s">
        <v>135</v>
      </c>
    </row>
    <row r="283" spans="1:7" x14ac:dyDescent="0.3">
      <c r="A283">
        <v>2546100100</v>
      </c>
      <c r="B283" t="s">
        <v>32</v>
      </c>
      <c r="C283" t="s">
        <v>91</v>
      </c>
      <c r="D283" t="s">
        <v>17</v>
      </c>
      <c r="E283" s="13">
        <v>45627</v>
      </c>
      <c r="F283">
        <v>372706.14279112499</v>
      </c>
      <c r="G283" t="s">
        <v>135</v>
      </c>
    </row>
    <row r="284" spans="1:7" x14ac:dyDescent="0.3">
      <c r="A284">
        <v>2546100100</v>
      </c>
      <c r="B284" t="s">
        <v>32</v>
      </c>
      <c r="C284" t="s">
        <v>91</v>
      </c>
      <c r="D284" t="s">
        <v>17</v>
      </c>
      <c r="E284" s="13">
        <v>45658</v>
      </c>
      <c r="F284">
        <v>0</v>
      </c>
      <c r="G284" t="s">
        <v>135</v>
      </c>
    </row>
    <row r="285" spans="1:7" x14ac:dyDescent="0.3">
      <c r="A285">
        <v>2546100100</v>
      </c>
      <c r="B285" t="s">
        <v>32</v>
      </c>
      <c r="C285" t="s">
        <v>91</v>
      </c>
      <c r="D285" t="s">
        <v>17</v>
      </c>
      <c r="E285" s="13">
        <v>45689</v>
      </c>
      <c r="F285">
        <v>0</v>
      </c>
      <c r="G285" t="s">
        <v>135</v>
      </c>
    </row>
    <row r="286" spans="1:7" x14ac:dyDescent="0.3">
      <c r="A286">
        <v>2546100100</v>
      </c>
      <c r="B286" t="s">
        <v>32</v>
      </c>
      <c r="C286" t="s">
        <v>91</v>
      </c>
      <c r="D286" t="s">
        <v>17</v>
      </c>
      <c r="E286" s="13">
        <v>45717</v>
      </c>
      <c r="F286">
        <v>0</v>
      </c>
      <c r="G286" t="s">
        <v>135</v>
      </c>
    </row>
    <row r="287" spans="1:7" x14ac:dyDescent="0.3">
      <c r="A287">
        <v>2546100100</v>
      </c>
      <c r="B287" t="s">
        <v>32</v>
      </c>
      <c r="C287" t="s">
        <v>91</v>
      </c>
      <c r="D287" t="s">
        <v>17</v>
      </c>
      <c r="E287" s="13">
        <v>45748</v>
      </c>
      <c r="F287">
        <v>0</v>
      </c>
      <c r="G287" t="s">
        <v>135</v>
      </c>
    </row>
    <row r="288" spans="1:7" x14ac:dyDescent="0.3">
      <c r="A288">
        <v>2546100100</v>
      </c>
      <c r="B288" t="s">
        <v>32</v>
      </c>
      <c r="C288" t="s">
        <v>91</v>
      </c>
      <c r="D288" t="s">
        <v>17</v>
      </c>
      <c r="E288" s="13">
        <v>45778</v>
      </c>
      <c r="F288">
        <v>0</v>
      </c>
      <c r="G288" t="s">
        <v>135</v>
      </c>
    </row>
    <row r="289" spans="1:7" x14ac:dyDescent="0.3">
      <c r="A289">
        <v>2546100100</v>
      </c>
      <c r="B289" t="s">
        <v>32</v>
      </c>
      <c r="C289" t="s">
        <v>91</v>
      </c>
      <c r="D289" t="s">
        <v>17</v>
      </c>
      <c r="E289" s="13">
        <v>45809</v>
      </c>
      <c r="F289">
        <v>0</v>
      </c>
      <c r="G289" t="s">
        <v>135</v>
      </c>
    </row>
    <row r="290" spans="1:7" x14ac:dyDescent="0.3">
      <c r="A290">
        <v>2544601400</v>
      </c>
      <c r="B290" t="s">
        <v>33</v>
      </c>
      <c r="C290" t="s">
        <v>91</v>
      </c>
      <c r="D290" t="s">
        <v>17</v>
      </c>
      <c r="E290" s="13">
        <v>45292</v>
      </c>
      <c r="F290">
        <v>109605.296431125</v>
      </c>
      <c r="G290" t="s">
        <v>136</v>
      </c>
    </row>
    <row r="291" spans="1:7" x14ac:dyDescent="0.3">
      <c r="A291">
        <v>2544601400</v>
      </c>
      <c r="B291" t="s">
        <v>33</v>
      </c>
      <c r="C291" t="s">
        <v>91</v>
      </c>
      <c r="D291" t="s">
        <v>17</v>
      </c>
      <c r="E291" s="13">
        <v>45323</v>
      </c>
      <c r="F291">
        <v>118609.1047765</v>
      </c>
      <c r="G291" t="s">
        <v>136</v>
      </c>
    </row>
    <row r="292" spans="1:7" x14ac:dyDescent="0.3">
      <c r="A292">
        <v>2544601400</v>
      </c>
      <c r="B292" t="s">
        <v>33</v>
      </c>
      <c r="C292" t="s">
        <v>91</v>
      </c>
      <c r="D292" t="s">
        <v>17</v>
      </c>
      <c r="E292" s="13">
        <v>45352</v>
      </c>
      <c r="F292">
        <v>123117.266958956</v>
      </c>
      <c r="G292" t="s">
        <v>136</v>
      </c>
    </row>
    <row r="293" spans="1:7" x14ac:dyDescent="0.3">
      <c r="A293">
        <v>2544601400</v>
      </c>
      <c r="B293" t="s">
        <v>33</v>
      </c>
      <c r="C293" t="s">
        <v>91</v>
      </c>
      <c r="D293" t="s">
        <v>17</v>
      </c>
      <c r="E293" s="13">
        <v>45383</v>
      </c>
      <c r="F293">
        <v>116028.828833616</v>
      </c>
      <c r="G293" t="s">
        <v>136</v>
      </c>
    </row>
    <row r="294" spans="1:7" x14ac:dyDescent="0.3">
      <c r="A294">
        <v>2544601400</v>
      </c>
      <c r="B294" t="s">
        <v>33</v>
      </c>
      <c r="C294" t="s">
        <v>91</v>
      </c>
      <c r="D294" t="s">
        <v>17</v>
      </c>
      <c r="E294" s="13">
        <v>45413</v>
      </c>
      <c r="F294">
        <v>97509.604500000001</v>
      </c>
      <c r="G294" t="s">
        <v>136</v>
      </c>
    </row>
    <row r="295" spans="1:7" x14ac:dyDescent="0.3">
      <c r="A295">
        <v>2544601400</v>
      </c>
      <c r="B295" t="s">
        <v>33</v>
      </c>
      <c r="C295" t="s">
        <v>91</v>
      </c>
      <c r="D295" t="s">
        <v>17</v>
      </c>
      <c r="E295" s="13">
        <v>45444</v>
      </c>
      <c r="F295">
        <v>92866.29</v>
      </c>
      <c r="G295" t="s">
        <v>136</v>
      </c>
    </row>
    <row r="296" spans="1:7" x14ac:dyDescent="0.3">
      <c r="A296">
        <v>2544601400</v>
      </c>
      <c r="B296" t="s">
        <v>33</v>
      </c>
      <c r="C296" t="s">
        <v>91</v>
      </c>
      <c r="D296" t="s">
        <v>17</v>
      </c>
      <c r="E296" s="13">
        <v>45474</v>
      </c>
      <c r="F296">
        <v>84998.736900000004</v>
      </c>
      <c r="G296" t="s">
        <v>136</v>
      </c>
    </row>
    <row r="297" spans="1:7" x14ac:dyDescent="0.3">
      <c r="A297">
        <v>2544601400</v>
      </c>
      <c r="B297" t="s">
        <v>33</v>
      </c>
      <c r="C297" t="s">
        <v>91</v>
      </c>
      <c r="D297" t="s">
        <v>17</v>
      </c>
      <c r="E297" s="13">
        <v>45505</v>
      </c>
      <c r="F297">
        <v>96952.952550162503</v>
      </c>
      <c r="G297" t="s">
        <v>136</v>
      </c>
    </row>
    <row r="298" spans="1:7" x14ac:dyDescent="0.3">
      <c r="A298">
        <v>2544601400</v>
      </c>
      <c r="B298" t="s">
        <v>33</v>
      </c>
      <c r="C298" t="s">
        <v>91</v>
      </c>
      <c r="D298" t="s">
        <v>17</v>
      </c>
      <c r="E298" s="13">
        <v>45536</v>
      </c>
      <c r="F298">
        <v>156020.26752300499</v>
      </c>
      <c r="G298" t="s">
        <v>136</v>
      </c>
    </row>
    <row r="299" spans="1:7" x14ac:dyDescent="0.3">
      <c r="A299">
        <v>2544601400</v>
      </c>
      <c r="B299" t="s">
        <v>33</v>
      </c>
      <c r="C299" t="s">
        <v>91</v>
      </c>
      <c r="D299" t="s">
        <v>17</v>
      </c>
      <c r="E299" s="13">
        <v>45566</v>
      </c>
      <c r="F299">
        <v>168444.87350459999</v>
      </c>
      <c r="G299" t="s">
        <v>136</v>
      </c>
    </row>
    <row r="300" spans="1:7" x14ac:dyDescent="0.3">
      <c r="A300">
        <v>2544601400</v>
      </c>
      <c r="B300" t="s">
        <v>33</v>
      </c>
      <c r="C300" t="s">
        <v>91</v>
      </c>
      <c r="D300" t="s">
        <v>17</v>
      </c>
      <c r="E300" s="13">
        <v>45597</v>
      </c>
      <c r="F300">
        <v>176087.596137602</v>
      </c>
      <c r="G300" t="s">
        <v>136</v>
      </c>
    </row>
    <row r="301" spans="1:7" x14ac:dyDescent="0.3">
      <c r="A301">
        <v>2544601400</v>
      </c>
      <c r="B301" t="s">
        <v>33</v>
      </c>
      <c r="C301" t="s">
        <v>91</v>
      </c>
      <c r="D301" t="s">
        <v>17</v>
      </c>
      <c r="E301" s="13">
        <v>45627</v>
      </c>
      <c r="F301">
        <v>142666.1760865</v>
      </c>
      <c r="G301" t="s">
        <v>136</v>
      </c>
    </row>
    <row r="302" spans="1:7" x14ac:dyDescent="0.3">
      <c r="A302">
        <v>2544601400</v>
      </c>
      <c r="B302" t="s">
        <v>33</v>
      </c>
      <c r="C302" t="s">
        <v>91</v>
      </c>
      <c r="D302" t="s">
        <v>17</v>
      </c>
      <c r="E302" s="13">
        <v>45658</v>
      </c>
      <c r="F302">
        <v>0</v>
      </c>
      <c r="G302" t="s">
        <v>136</v>
      </c>
    </row>
    <row r="303" spans="1:7" x14ac:dyDescent="0.3">
      <c r="A303">
        <v>2544601400</v>
      </c>
      <c r="B303" t="s">
        <v>33</v>
      </c>
      <c r="C303" t="s">
        <v>91</v>
      </c>
      <c r="D303" t="s">
        <v>17</v>
      </c>
      <c r="E303" s="13">
        <v>45689</v>
      </c>
      <c r="F303">
        <v>0</v>
      </c>
      <c r="G303" t="s">
        <v>136</v>
      </c>
    </row>
    <row r="304" spans="1:7" x14ac:dyDescent="0.3">
      <c r="A304">
        <v>2544601400</v>
      </c>
      <c r="B304" t="s">
        <v>33</v>
      </c>
      <c r="C304" t="s">
        <v>91</v>
      </c>
      <c r="D304" t="s">
        <v>17</v>
      </c>
      <c r="E304" s="13">
        <v>45717</v>
      </c>
      <c r="F304">
        <v>0</v>
      </c>
      <c r="G304" t="s">
        <v>136</v>
      </c>
    </row>
    <row r="305" spans="1:7" x14ac:dyDescent="0.3">
      <c r="A305">
        <v>2544601400</v>
      </c>
      <c r="B305" t="s">
        <v>33</v>
      </c>
      <c r="C305" t="s">
        <v>91</v>
      </c>
      <c r="D305" t="s">
        <v>17</v>
      </c>
      <c r="E305" s="13">
        <v>45748</v>
      </c>
      <c r="F305">
        <v>0</v>
      </c>
      <c r="G305" t="s">
        <v>136</v>
      </c>
    </row>
    <row r="306" spans="1:7" x14ac:dyDescent="0.3">
      <c r="A306">
        <v>2544601400</v>
      </c>
      <c r="B306" t="s">
        <v>33</v>
      </c>
      <c r="C306" t="s">
        <v>91</v>
      </c>
      <c r="D306" t="s">
        <v>17</v>
      </c>
      <c r="E306" s="13">
        <v>45778</v>
      </c>
      <c r="F306">
        <v>0</v>
      </c>
      <c r="G306" t="s">
        <v>136</v>
      </c>
    </row>
    <row r="307" spans="1:7" x14ac:dyDescent="0.3">
      <c r="A307">
        <v>2544601400</v>
      </c>
      <c r="B307" t="s">
        <v>33</v>
      </c>
      <c r="C307" t="s">
        <v>91</v>
      </c>
      <c r="D307" t="s">
        <v>17</v>
      </c>
      <c r="E307" s="13">
        <v>45809</v>
      </c>
      <c r="F307">
        <v>0</v>
      </c>
      <c r="G307" t="s">
        <v>136</v>
      </c>
    </row>
    <row r="308" spans="1:7" x14ac:dyDescent="0.3">
      <c r="A308">
        <v>2544600140</v>
      </c>
      <c r="B308" t="s">
        <v>34</v>
      </c>
      <c r="C308" t="s">
        <v>91</v>
      </c>
      <c r="D308" t="s">
        <v>17</v>
      </c>
      <c r="E308" s="13">
        <v>45292</v>
      </c>
      <c r="F308">
        <v>77705.212594625002</v>
      </c>
      <c r="G308" t="s">
        <v>137</v>
      </c>
    </row>
    <row r="309" spans="1:7" x14ac:dyDescent="0.3">
      <c r="A309">
        <v>2544600140</v>
      </c>
      <c r="B309" t="s">
        <v>34</v>
      </c>
      <c r="C309" t="s">
        <v>91</v>
      </c>
      <c r="D309" t="s">
        <v>17</v>
      </c>
      <c r="E309" s="13">
        <v>45323</v>
      </c>
      <c r="F309">
        <v>102457.957505488</v>
      </c>
      <c r="G309" t="s">
        <v>137</v>
      </c>
    </row>
    <row r="310" spans="1:7" x14ac:dyDescent="0.3">
      <c r="A310">
        <v>2544600140</v>
      </c>
      <c r="B310" t="s">
        <v>34</v>
      </c>
      <c r="C310" t="s">
        <v>91</v>
      </c>
      <c r="D310" t="s">
        <v>17</v>
      </c>
      <c r="E310" s="13">
        <v>45352</v>
      </c>
      <c r="F310">
        <v>122105.30944693901</v>
      </c>
      <c r="G310" t="s">
        <v>137</v>
      </c>
    </row>
    <row r="311" spans="1:7" x14ac:dyDescent="0.3">
      <c r="A311">
        <v>2544600140</v>
      </c>
      <c r="B311" t="s">
        <v>34</v>
      </c>
      <c r="C311" t="s">
        <v>91</v>
      </c>
      <c r="D311" t="s">
        <v>17</v>
      </c>
      <c r="E311" s="13">
        <v>45383</v>
      </c>
      <c r="F311">
        <v>131622.64395240601</v>
      </c>
      <c r="G311" t="s">
        <v>137</v>
      </c>
    </row>
    <row r="312" spans="1:7" x14ac:dyDescent="0.3">
      <c r="A312">
        <v>2544600140</v>
      </c>
      <c r="B312" t="s">
        <v>34</v>
      </c>
      <c r="C312" t="s">
        <v>91</v>
      </c>
      <c r="D312" t="s">
        <v>17</v>
      </c>
      <c r="E312" s="13">
        <v>45413</v>
      </c>
      <c r="F312">
        <v>165518.77072500001</v>
      </c>
      <c r="G312" t="s">
        <v>137</v>
      </c>
    </row>
    <row r="313" spans="1:7" x14ac:dyDescent="0.3">
      <c r="A313">
        <v>2544600140</v>
      </c>
      <c r="B313" t="s">
        <v>34</v>
      </c>
      <c r="C313" t="s">
        <v>91</v>
      </c>
      <c r="D313" t="s">
        <v>17</v>
      </c>
      <c r="E313" s="13">
        <v>45444</v>
      </c>
      <c r="F313">
        <v>157636.92449999999</v>
      </c>
      <c r="G313" t="s">
        <v>137</v>
      </c>
    </row>
    <row r="314" spans="1:7" x14ac:dyDescent="0.3">
      <c r="A314">
        <v>2544600140</v>
      </c>
      <c r="B314" t="s">
        <v>34</v>
      </c>
      <c r="C314" t="s">
        <v>91</v>
      </c>
      <c r="D314" t="s">
        <v>17</v>
      </c>
      <c r="E314" s="13">
        <v>45474</v>
      </c>
      <c r="F314">
        <v>149852.46899699999</v>
      </c>
      <c r="G314" t="s">
        <v>137</v>
      </c>
    </row>
    <row r="315" spans="1:7" x14ac:dyDescent="0.3">
      <c r="A315">
        <v>2544600140</v>
      </c>
      <c r="B315" t="s">
        <v>34</v>
      </c>
      <c r="C315" t="s">
        <v>91</v>
      </c>
      <c r="D315" t="s">
        <v>17</v>
      </c>
      <c r="E315" s="13">
        <v>45505</v>
      </c>
      <c r="F315">
        <v>136552.84107616299</v>
      </c>
      <c r="G315" t="s">
        <v>137</v>
      </c>
    </row>
    <row r="316" spans="1:7" x14ac:dyDescent="0.3">
      <c r="A316">
        <v>2544600140</v>
      </c>
      <c r="B316" t="s">
        <v>34</v>
      </c>
      <c r="C316" t="s">
        <v>91</v>
      </c>
      <c r="D316" t="s">
        <v>17</v>
      </c>
      <c r="E316" s="13">
        <v>45536</v>
      </c>
      <c r="F316">
        <v>133810.2579</v>
      </c>
      <c r="G316" t="s">
        <v>137</v>
      </c>
    </row>
    <row r="317" spans="1:7" x14ac:dyDescent="0.3">
      <c r="A317">
        <v>2544600140</v>
      </c>
      <c r="B317" t="s">
        <v>34</v>
      </c>
      <c r="C317" t="s">
        <v>91</v>
      </c>
      <c r="D317" t="s">
        <v>17</v>
      </c>
      <c r="E317" s="13">
        <v>45566</v>
      </c>
      <c r="F317">
        <v>374669.91324551299</v>
      </c>
      <c r="G317" t="s">
        <v>137</v>
      </c>
    </row>
    <row r="318" spans="1:7" x14ac:dyDescent="0.3">
      <c r="A318">
        <v>2544600140</v>
      </c>
      <c r="B318" t="s">
        <v>34</v>
      </c>
      <c r="C318" t="s">
        <v>91</v>
      </c>
      <c r="D318" t="s">
        <v>17</v>
      </c>
      <c r="E318" s="13">
        <v>45597</v>
      </c>
      <c r="F318">
        <v>263362.75371374498</v>
      </c>
      <c r="G318" t="s">
        <v>137</v>
      </c>
    </row>
    <row r="319" spans="1:7" x14ac:dyDescent="0.3">
      <c r="A319">
        <v>2544600140</v>
      </c>
      <c r="B319" t="s">
        <v>34</v>
      </c>
      <c r="C319" t="s">
        <v>91</v>
      </c>
      <c r="D319" t="s">
        <v>17</v>
      </c>
      <c r="E319" s="13">
        <v>45627</v>
      </c>
      <c r="F319">
        <v>108238.571646975</v>
      </c>
      <c r="G319" t="s">
        <v>137</v>
      </c>
    </row>
    <row r="320" spans="1:7" x14ac:dyDescent="0.3">
      <c r="A320">
        <v>2544600140</v>
      </c>
      <c r="B320" t="s">
        <v>34</v>
      </c>
      <c r="C320" t="s">
        <v>91</v>
      </c>
      <c r="D320" t="s">
        <v>17</v>
      </c>
      <c r="E320" s="13">
        <v>45658</v>
      </c>
      <c r="F320">
        <v>0</v>
      </c>
      <c r="G320" t="s">
        <v>137</v>
      </c>
    </row>
    <row r="321" spans="1:7" x14ac:dyDescent="0.3">
      <c r="A321">
        <v>2544600140</v>
      </c>
      <c r="B321" t="s">
        <v>34</v>
      </c>
      <c r="C321" t="s">
        <v>91</v>
      </c>
      <c r="D321" t="s">
        <v>17</v>
      </c>
      <c r="E321" s="13">
        <v>45689</v>
      </c>
      <c r="F321">
        <v>0</v>
      </c>
      <c r="G321" t="s">
        <v>137</v>
      </c>
    </row>
    <row r="322" spans="1:7" x14ac:dyDescent="0.3">
      <c r="A322">
        <v>2544600140</v>
      </c>
      <c r="B322" t="s">
        <v>34</v>
      </c>
      <c r="C322" t="s">
        <v>91</v>
      </c>
      <c r="D322" t="s">
        <v>17</v>
      </c>
      <c r="E322" s="13">
        <v>45717</v>
      </c>
      <c r="F322">
        <v>0</v>
      </c>
      <c r="G322" t="s">
        <v>137</v>
      </c>
    </row>
    <row r="323" spans="1:7" x14ac:dyDescent="0.3">
      <c r="A323">
        <v>2544600140</v>
      </c>
      <c r="B323" t="s">
        <v>34</v>
      </c>
      <c r="C323" t="s">
        <v>91</v>
      </c>
      <c r="D323" t="s">
        <v>17</v>
      </c>
      <c r="E323" s="13">
        <v>45748</v>
      </c>
      <c r="F323">
        <v>0</v>
      </c>
      <c r="G323" t="s">
        <v>137</v>
      </c>
    </row>
    <row r="324" spans="1:7" x14ac:dyDescent="0.3">
      <c r="A324">
        <v>2544600140</v>
      </c>
      <c r="B324" t="s">
        <v>34</v>
      </c>
      <c r="C324" t="s">
        <v>91</v>
      </c>
      <c r="D324" t="s">
        <v>17</v>
      </c>
      <c r="E324" s="13">
        <v>45778</v>
      </c>
      <c r="F324">
        <v>0</v>
      </c>
      <c r="G324" t="s">
        <v>137</v>
      </c>
    </row>
    <row r="325" spans="1:7" x14ac:dyDescent="0.3">
      <c r="A325">
        <v>2544600140</v>
      </c>
      <c r="B325" t="s">
        <v>34</v>
      </c>
      <c r="C325" t="s">
        <v>91</v>
      </c>
      <c r="D325" t="s">
        <v>17</v>
      </c>
      <c r="E325" s="13">
        <v>45809</v>
      </c>
      <c r="F325">
        <v>0</v>
      </c>
      <c r="G325" t="s">
        <v>137</v>
      </c>
    </row>
    <row r="326" spans="1:7" x14ac:dyDescent="0.3">
      <c r="A326">
        <v>2544600120</v>
      </c>
      <c r="B326" t="s">
        <v>35</v>
      </c>
      <c r="C326" t="s">
        <v>91</v>
      </c>
      <c r="D326" t="s">
        <v>17</v>
      </c>
      <c r="E326" s="13">
        <v>45292</v>
      </c>
      <c r="F326">
        <v>5524.3312451250004</v>
      </c>
      <c r="G326" t="s">
        <v>138</v>
      </c>
    </row>
    <row r="327" spans="1:7" x14ac:dyDescent="0.3">
      <c r="A327">
        <v>2544600120</v>
      </c>
      <c r="B327" t="s">
        <v>35</v>
      </c>
      <c r="C327" t="s">
        <v>91</v>
      </c>
      <c r="D327" t="s">
        <v>17</v>
      </c>
      <c r="E327" s="13">
        <v>45323</v>
      </c>
      <c r="F327">
        <v>9752.1445438394603</v>
      </c>
      <c r="G327" t="s">
        <v>138</v>
      </c>
    </row>
    <row r="328" spans="1:7" x14ac:dyDescent="0.3">
      <c r="A328">
        <v>2544600120</v>
      </c>
      <c r="B328" t="s">
        <v>35</v>
      </c>
      <c r="C328" t="s">
        <v>91</v>
      </c>
      <c r="D328" t="s">
        <v>17</v>
      </c>
      <c r="E328" s="13">
        <v>45352</v>
      </c>
      <c r="F328">
        <v>15468.5334235805</v>
      </c>
      <c r="G328" t="s">
        <v>138</v>
      </c>
    </row>
    <row r="329" spans="1:7" x14ac:dyDescent="0.3">
      <c r="A329">
        <v>2544600120</v>
      </c>
      <c r="B329" t="s">
        <v>35</v>
      </c>
      <c r="C329" t="s">
        <v>91</v>
      </c>
      <c r="D329" t="s">
        <v>17</v>
      </c>
      <c r="E329" s="13">
        <v>45383</v>
      </c>
      <c r="F329">
        <v>12906.1350466856</v>
      </c>
      <c r="G329" t="s">
        <v>138</v>
      </c>
    </row>
    <row r="330" spans="1:7" x14ac:dyDescent="0.3">
      <c r="A330">
        <v>2544600120</v>
      </c>
      <c r="B330" t="s">
        <v>35</v>
      </c>
      <c r="C330" t="s">
        <v>91</v>
      </c>
      <c r="D330" t="s">
        <v>17</v>
      </c>
      <c r="E330" s="13">
        <v>45413</v>
      </c>
      <c r="F330">
        <v>11954.921</v>
      </c>
      <c r="G330" t="s">
        <v>138</v>
      </c>
    </row>
    <row r="331" spans="1:7" x14ac:dyDescent="0.3">
      <c r="A331">
        <v>2544600120</v>
      </c>
      <c r="B331" t="s">
        <v>35</v>
      </c>
      <c r="C331" t="s">
        <v>91</v>
      </c>
      <c r="D331" t="s">
        <v>17</v>
      </c>
      <c r="E331" s="13">
        <v>45444</v>
      </c>
      <c r="F331">
        <v>7698.02</v>
      </c>
      <c r="G331" t="s">
        <v>138</v>
      </c>
    </row>
    <row r="332" spans="1:7" x14ac:dyDescent="0.3">
      <c r="A332">
        <v>2544600120</v>
      </c>
      <c r="B332" t="s">
        <v>35</v>
      </c>
      <c r="C332" t="s">
        <v>91</v>
      </c>
      <c r="D332" t="s">
        <v>17</v>
      </c>
      <c r="E332" s="13">
        <v>45474</v>
      </c>
      <c r="F332">
        <v>6521.4226247500001</v>
      </c>
      <c r="G332" t="s">
        <v>138</v>
      </c>
    </row>
    <row r="333" spans="1:7" x14ac:dyDescent="0.3">
      <c r="A333">
        <v>2544600120</v>
      </c>
      <c r="B333" t="s">
        <v>35</v>
      </c>
      <c r="C333" t="s">
        <v>91</v>
      </c>
      <c r="D333" t="s">
        <v>17</v>
      </c>
      <c r="E333" s="13">
        <v>45505</v>
      </c>
      <c r="F333">
        <v>3642.6022710000002</v>
      </c>
      <c r="G333" t="s">
        <v>138</v>
      </c>
    </row>
    <row r="334" spans="1:7" x14ac:dyDescent="0.3">
      <c r="A334">
        <v>2544600120</v>
      </c>
      <c r="B334" t="s">
        <v>35</v>
      </c>
      <c r="C334" t="s">
        <v>91</v>
      </c>
      <c r="D334" t="s">
        <v>17</v>
      </c>
      <c r="E334" s="13">
        <v>45536</v>
      </c>
      <c r="F334">
        <v>16643.804933507599</v>
      </c>
      <c r="G334" t="s">
        <v>138</v>
      </c>
    </row>
    <row r="335" spans="1:7" x14ac:dyDescent="0.3">
      <c r="A335">
        <v>2544600120</v>
      </c>
      <c r="B335" t="s">
        <v>35</v>
      </c>
      <c r="C335" t="s">
        <v>91</v>
      </c>
      <c r="D335" t="s">
        <v>17</v>
      </c>
      <c r="E335" s="13">
        <v>45566</v>
      </c>
      <c r="F335">
        <v>21757.433195987502</v>
      </c>
      <c r="G335" t="s">
        <v>138</v>
      </c>
    </row>
    <row r="336" spans="1:7" x14ac:dyDescent="0.3">
      <c r="A336">
        <v>2544600120</v>
      </c>
      <c r="B336" t="s">
        <v>35</v>
      </c>
      <c r="C336" t="s">
        <v>91</v>
      </c>
      <c r="D336" t="s">
        <v>17</v>
      </c>
      <c r="E336" s="13">
        <v>45597</v>
      </c>
      <c r="F336">
        <v>19240.915793935499</v>
      </c>
      <c r="G336" t="s">
        <v>138</v>
      </c>
    </row>
    <row r="337" spans="1:7" x14ac:dyDescent="0.3">
      <c r="A337">
        <v>2544600120</v>
      </c>
      <c r="B337" t="s">
        <v>35</v>
      </c>
      <c r="C337" t="s">
        <v>91</v>
      </c>
      <c r="D337" t="s">
        <v>17</v>
      </c>
      <c r="E337" s="13">
        <v>45627</v>
      </c>
      <c r="F337">
        <v>10923.12662375</v>
      </c>
      <c r="G337" t="s">
        <v>138</v>
      </c>
    </row>
    <row r="338" spans="1:7" x14ac:dyDescent="0.3">
      <c r="A338">
        <v>2544600120</v>
      </c>
      <c r="B338" t="s">
        <v>35</v>
      </c>
      <c r="C338" t="s">
        <v>91</v>
      </c>
      <c r="D338" t="s">
        <v>17</v>
      </c>
      <c r="E338" s="13">
        <v>45658</v>
      </c>
      <c r="F338">
        <v>0</v>
      </c>
      <c r="G338" t="s">
        <v>138</v>
      </c>
    </row>
    <row r="339" spans="1:7" x14ac:dyDescent="0.3">
      <c r="A339">
        <v>2544600120</v>
      </c>
      <c r="B339" t="s">
        <v>35</v>
      </c>
      <c r="C339" t="s">
        <v>91</v>
      </c>
      <c r="D339" t="s">
        <v>17</v>
      </c>
      <c r="E339" s="13">
        <v>45689</v>
      </c>
      <c r="F339">
        <v>0</v>
      </c>
      <c r="G339" t="s">
        <v>138</v>
      </c>
    </row>
    <row r="340" spans="1:7" x14ac:dyDescent="0.3">
      <c r="A340">
        <v>2544600120</v>
      </c>
      <c r="B340" t="s">
        <v>35</v>
      </c>
      <c r="C340" t="s">
        <v>91</v>
      </c>
      <c r="D340" t="s">
        <v>17</v>
      </c>
      <c r="E340" s="13">
        <v>45717</v>
      </c>
      <c r="F340">
        <v>0</v>
      </c>
      <c r="G340" t="s">
        <v>138</v>
      </c>
    </row>
    <row r="341" spans="1:7" x14ac:dyDescent="0.3">
      <c r="A341">
        <v>2544600120</v>
      </c>
      <c r="B341" t="s">
        <v>35</v>
      </c>
      <c r="C341" t="s">
        <v>91</v>
      </c>
      <c r="D341" t="s">
        <v>17</v>
      </c>
      <c r="E341" s="13">
        <v>45748</v>
      </c>
      <c r="F341">
        <v>0</v>
      </c>
      <c r="G341" t="s">
        <v>138</v>
      </c>
    </row>
    <row r="342" spans="1:7" x14ac:dyDescent="0.3">
      <c r="A342">
        <v>2544600120</v>
      </c>
      <c r="B342" t="s">
        <v>35</v>
      </c>
      <c r="C342" t="s">
        <v>91</v>
      </c>
      <c r="D342" t="s">
        <v>17</v>
      </c>
      <c r="E342" s="13">
        <v>45778</v>
      </c>
      <c r="F342">
        <v>0</v>
      </c>
      <c r="G342" t="s">
        <v>138</v>
      </c>
    </row>
    <row r="343" spans="1:7" x14ac:dyDescent="0.3">
      <c r="A343">
        <v>2544600120</v>
      </c>
      <c r="B343" t="s">
        <v>35</v>
      </c>
      <c r="C343" t="s">
        <v>91</v>
      </c>
      <c r="D343" t="s">
        <v>17</v>
      </c>
      <c r="E343" s="13">
        <v>45809</v>
      </c>
      <c r="F343">
        <v>0</v>
      </c>
      <c r="G343" t="s">
        <v>138</v>
      </c>
    </row>
    <row r="344" spans="1:7" x14ac:dyDescent="0.3">
      <c r="A344">
        <v>2544600170</v>
      </c>
      <c r="B344" t="s">
        <v>36</v>
      </c>
      <c r="C344" t="s">
        <v>91</v>
      </c>
      <c r="D344" t="s">
        <v>17</v>
      </c>
      <c r="E344" s="13">
        <v>45292</v>
      </c>
      <c r="F344">
        <v>3866.8847249999999</v>
      </c>
      <c r="G344" t="s">
        <v>139</v>
      </c>
    </row>
    <row r="345" spans="1:7" x14ac:dyDescent="0.3">
      <c r="A345">
        <v>2544600170</v>
      </c>
      <c r="B345" t="s">
        <v>36</v>
      </c>
      <c r="C345" t="s">
        <v>91</v>
      </c>
      <c r="D345" t="s">
        <v>17</v>
      </c>
      <c r="E345" s="13">
        <v>45323</v>
      </c>
      <c r="F345">
        <v>4994.0684132233</v>
      </c>
      <c r="G345" t="s">
        <v>139</v>
      </c>
    </row>
    <row r="346" spans="1:7" x14ac:dyDescent="0.3">
      <c r="A346">
        <v>2544600170</v>
      </c>
      <c r="B346" t="s">
        <v>36</v>
      </c>
      <c r="C346" t="s">
        <v>91</v>
      </c>
      <c r="D346" t="s">
        <v>17</v>
      </c>
      <c r="E346" s="13">
        <v>45352</v>
      </c>
      <c r="F346">
        <v>6241.18</v>
      </c>
      <c r="G346" t="s">
        <v>139</v>
      </c>
    </row>
    <row r="347" spans="1:7" x14ac:dyDescent="0.3">
      <c r="A347">
        <v>2544600170</v>
      </c>
      <c r="B347" t="s">
        <v>36</v>
      </c>
      <c r="C347" t="s">
        <v>91</v>
      </c>
      <c r="D347" t="s">
        <v>17</v>
      </c>
      <c r="E347" s="13">
        <v>45383</v>
      </c>
      <c r="F347">
        <v>10642.356769379199</v>
      </c>
      <c r="G347" t="s">
        <v>139</v>
      </c>
    </row>
    <row r="348" spans="1:7" x14ac:dyDescent="0.3">
      <c r="A348">
        <v>2544600170</v>
      </c>
      <c r="B348" t="s">
        <v>36</v>
      </c>
      <c r="C348" t="s">
        <v>91</v>
      </c>
      <c r="D348" t="s">
        <v>17</v>
      </c>
      <c r="E348" s="13">
        <v>45413</v>
      </c>
      <c r="F348">
        <v>11738.239645</v>
      </c>
      <c r="G348" t="s">
        <v>139</v>
      </c>
    </row>
    <row r="349" spans="1:7" x14ac:dyDescent="0.3">
      <c r="A349">
        <v>2544600170</v>
      </c>
      <c r="B349" t="s">
        <v>36</v>
      </c>
      <c r="C349" t="s">
        <v>91</v>
      </c>
      <c r="D349" t="s">
        <v>17</v>
      </c>
      <c r="E349" s="13">
        <v>45444</v>
      </c>
      <c r="F349">
        <v>10026.894899999999</v>
      </c>
      <c r="G349" t="s">
        <v>139</v>
      </c>
    </row>
    <row r="350" spans="1:7" x14ac:dyDescent="0.3">
      <c r="A350">
        <v>2544600170</v>
      </c>
      <c r="B350" t="s">
        <v>36</v>
      </c>
      <c r="C350" t="s">
        <v>91</v>
      </c>
      <c r="D350" t="s">
        <v>17</v>
      </c>
      <c r="E350" s="13">
        <v>45474</v>
      </c>
      <c r="F350">
        <v>4764.0300592499998</v>
      </c>
      <c r="G350" t="s">
        <v>139</v>
      </c>
    </row>
    <row r="351" spans="1:7" x14ac:dyDescent="0.3">
      <c r="A351">
        <v>2544600170</v>
      </c>
      <c r="B351" t="s">
        <v>36</v>
      </c>
      <c r="C351" t="s">
        <v>91</v>
      </c>
      <c r="D351" t="s">
        <v>17</v>
      </c>
      <c r="E351" s="13">
        <v>45505</v>
      </c>
      <c r="F351">
        <v>2764.8399657724999</v>
      </c>
      <c r="G351" t="s">
        <v>139</v>
      </c>
    </row>
    <row r="352" spans="1:7" x14ac:dyDescent="0.3">
      <c r="A352">
        <v>2544600170</v>
      </c>
      <c r="B352" t="s">
        <v>36</v>
      </c>
      <c r="C352" t="s">
        <v>91</v>
      </c>
      <c r="D352" t="s">
        <v>17</v>
      </c>
      <c r="E352" s="13">
        <v>45536</v>
      </c>
      <c r="F352">
        <v>25028.068353701899</v>
      </c>
      <c r="G352" t="s">
        <v>139</v>
      </c>
    </row>
    <row r="353" spans="1:7" x14ac:dyDescent="0.3">
      <c r="A353">
        <v>2544600170</v>
      </c>
      <c r="B353" t="s">
        <v>36</v>
      </c>
      <c r="C353" t="s">
        <v>91</v>
      </c>
      <c r="D353" t="s">
        <v>17</v>
      </c>
      <c r="E353" s="13">
        <v>45566</v>
      </c>
      <c r="F353">
        <v>27633.961081649999</v>
      </c>
      <c r="G353" t="s">
        <v>139</v>
      </c>
    </row>
    <row r="354" spans="1:7" x14ac:dyDescent="0.3">
      <c r="A354">
        <v>2544600170</v>
      </c>
      <c r="B354" t="s">
        <v>36</v>
      </c>
      <c r="C354" t="s">
        <v>91</v>
      </c>
      <c r="D354" t="s">
        <v>17</v>
      </c>
      <c r="E354" s="13">
        <v>45597</v>
      </c>
      <c r="F354">
        <v>16961.5016455552</v>
      </c>
      <c r="G354" t="s">
        <v>139</v>
      </c>
    </row>
    <row r="355" spans="1:7" x14ac:dyDescent="0.3">
      <c r="A355">
        <v>2544600170</v>
      </c>
      <c r="B355" t="s">
        <v>36</v>
      </c>
      <c r="C355" t="s">
        <v>91</v>
      </c>
      <c r="D355" t="s">
        <v>17</v>
      </c>
      <c r="E355" s="13">
        <v>45627</v>
      </c>
      <c r="F355">
        <v>10536.4908845625</v>
      </c>
      <c r="G355" t="s">
        <v>139</v>
      </c>
    </row>
    <row r="356" spans="1:7" x14ac:dyDescent="0.3">
      <c r="A356">
        <v>2544600170</v>
      </c>
      <c r="B356" t="s">
        <v>36</v>
      </c>
      <c r="C356" t="s">
        <v>91</v>
      </c>
      <c r="D356" t="s">
        <v>17</v>
      </c>
      <c r="E356" s="13">
        <v>45658</v>
      </c>
      <c r="F356">
        <v>0</v>
      </c>
      <c r="G356" t="s">
        <v>139</v>
      </c>
    </row>
    <row r="357" spans="1:7" x14ac:dyDescent="0.3">
      <c r="A357">
        <v>2544600170</v>
      </c>
      <c r="B357" t="s">
        <v>36</v>
      </c>
      <c r="C357" t="s">
        <v>91</v>
      </c>
      <c r="D357" t="s">
        <v>17</v>
      </c>
      <c r="E357" s="13">
        <v>45689</v>
      </c>
      <c r="F357">
        <v>0</v>
      </c>
      <c r="G357" t="s">
        <v>139</v>
      </c>
    </row>
    <row r="358" spans="1:7" x14ac:dyDescent="0.3">
      <c r="A358">
        <v>2544600170</v>
      </c>
      <c r="B358" t="s">
        <v>36</v>
      </c>
      <c r="C358" t="s">
        <v>91</v>
      </c>
      <c r="D358" t="s">
        <v>17</v>
      </c>
      <c r="E358" s="13">
        <v>45717</v>
      </c>
      <c r="F358">
        <v>0</v>
      </c>
      <c r="G358" t="s">
        <v>139</v>
      </c>
    </row>
    <row r="359" spans="1:7" x14ac:dyDescent="0.3">
      <c r="A359">
        <v>2544600170</v>
      </c>
      <c r="B359" t="s">
        <v>36</v>
      </c>
      <c r="C359" t="s">
        <v>91</v>
      </c>
      <c r="D359" t="s">
        <v>17</v>
      </c>
      <c r="E359" s="13">
        <v>45748</v>
      </c>
      <c r="F359">
        <v>0</v>
      </c>
      <c r="G359" t="s">
        <v>139</v>
      </c>
    </row>
    <row r="360" spans="1:7" x14ac:dyDescent="0.3">
      <c r="A360">
        <v>2544600170</v>
      </c>
      <c r="B360" t="s">
        <v>36</v>
      </c>
      <c r="C360" t="s">
        <v>91</v>
      </c>
      <c r="D360" t="s">
        <v>17</v>
      </c>
      <c r="E360" s="13">
        <v>45778</v>
      </c>
      <c r="F360">
        <v>0</v>
      </c>
      <c r="G360" t="s">
        <v>139</v>
      </c>
    </row>
    <row r="361" spans="1:7" x14ac:dyDescent="0.3">
      <c r="A361">
        <v>2544600170</v>
      </c>
      <c r="B361" t="s">
        <v>36</v>
      </c>
      <c r="C361" t="s">
        <v>91</v>
      </c>
      <c r="D361" t="s">
        <v>17</v>
      </c>
      <c r="E361" s="13">
        <v>45809</v>
      </c>
      <c r="F361">
        <v>0</v>
      </c>
      <c r="G361" t="s">
        <v>139</v>
      </c>
    </row>
    <row r="362" spans="1:7" x14ac:dyDescent="0.3">
      <c r="A362">
        <v>2561400000</v>
      </c>
      <c r="B362" t="s">
        <v>19</v>
      </c>
      <c r="C362" t="s">
        <v>91</v>
      </c>
      <c r="D362" t="s">
        <v>19</v>
      </c>
      <c r="E362" s="13">
        <v>45292</v>
      </c>
      <c r="F362">
        <v>97865.595786749996</v>
      </c>
      <c r="G362" t="s">
        <v>140</v>
      </c>
    </row>
    <row r="363" spans="1:7" x14ac:dyDescent="0.3">
      <c r="A363">
        <v>2561400000</v>
      </c>
      <c r="B363" t="s">
        <v>19</v>
      </c>
      <c r="C363" t="s">
        <v>91</v>
      </c>
      <c r="D363" t="s">
        <v>19</v>
      </c>
      <c r="E363" s="13">
        <v>45323</v>
      </c>
      <c r="F363">
        <v>97865.595786749996</v>
      </c>
      <c r="G363" t="s">
        <v>140</v>
      </c>
    </row>
    <row r="364" spans="1:7" x14ac:dyDescent="0.3">
      <c r="A364">
        <v>2561400000</v>
      </c>
      <c r="B364" t="s">
        <v>19</v>
      </c>
      <c r="C364" t="s">
        <v>91</v>
      </c>
      <c r="D364" t="s">
        <v>19</v>
      </c>
      <c r="E364" s="13">
        <v>45352</v>
      </c>
      <c r="F364">
        <v>97605.446573249996</v>
      </c>
      <c r="G364" t="s">
        <v>140</v>
      </c>
    </row>
    <row r="365" spans="1:7" x14ac:dyDescent="0.3">
      <c r="A365">
        <v>2561400000</v>
      </c>
      <c r="B365" t="s">
        <v>19</v>
      </c>
      <c r="C365" t="s">
        <v>91</v>
      </c>
      <c r="D365" t="s">
        <v>19</v>
      </c>
      <c r="E365" s="13">
        <v>45383</v>
      </c>
      <c r="F365">
        <v>97605.446573249996</v>
      </c>
      <c r="G365" t="s">
        <v>140</v>
      </c>
    </row>
    <row r="366" spans="1:7" x14ac:dyDescent="0.3">
      <c r="A366">
        <v>2561400000</v>
      </c>
      <c r="B366" t="s">
        <v>19</v>
      </c>
      <c r="C366" t="s">
        <v>91</v>
      </c>
      <c r="D366" t="s">
        <v>19</v>
      </c>
      <c r="E366" s="13">
        <v>45413</v>
      </c>
      <c r="F366">
        <v>97605.446573249996</v>
      </c>
      <c r="G366" t="s">
        <v>140</v>
      </c>
    </row>
    <row r="367" spans="1:7" x14ac:dyDescent="0.3">
      <c r="A367">
        <v>2561400000</v>
      </c>
      <c r="B367" t="s">
        <v>19</v>
      </c>
      <c r="C367" t="s">
        <v>91</v>
      </c>
      <c r="D367" t="s">
        <v>19</v>
      </c>
      <c r="E367" s="13">
        <v>45444</v>
      </c>
      <c r="F367">
        <v>97610.712100000004</v>
      </c>
      <c r="G367" t="s">
        <v>140</v>
      </c>
    </row>
    <row r="368" spans="1:7" x14ac:dyDescent="0.3">
      <c r="A368">
        <v>2561400000</v>
      </c>
      <c r="B368" t="s">
        <v>19</v>
      </c>
      <c r="C368" t="s">
        <v>91</v>
      </c>
      <c r="D368" t="s">
        <v>19</v>
      </c>
      <c r="E368" s="13">
        <v>45474</v>
      </c>
      <c r="F368">
        <v>97793.228499999997</v>
      </c>
      <c r="G368" t="s">
        <v>140</v>
      </c>
    </row>
    <row r="369" spans="1:7" x14ac:dyDescent="0.3">
      <c r="A369">
        <v>2561400000</v>
      </c>
      <c r="B369" t="s">
        <v>19</v>
      </c>
      <c r="C369" t="s">
        <v>91</v>
      </c>
      <c r="D369" t="s">
        <v>19</v>
      </c>
      <c r="E369" s="13">
        <v>45505</v>
      </c>
      <c r="F369">
        <v>97961.043399999995</v>
      </c>
      <c r="G369" t="s">
        <v>140</v>
      </c>
    </row>
    <row r="370" spans="1:7" x14ac:dyDescent="0.3">
      <c r="A370">
        <v>2561400000</v>
      </c>
      <c r="B370" t="s">
        <v>19</v>
      </c>
      <c r="C370" t="s">
        <v>91</v>
      </c>
      <c r="D370" t="s">
        <v>19</v>
      </c>
      <c r="E370" s="13">
        <v>45536</v>
      </c>
      <c r="F370">
        <v>97755.343399999998</v>
      </c>
      <c r="G370" t="s">
        <v>140</v>
      </c>
    </row>
    <row r="371" spans="1:7" x14ac:dyDescent="0.3">
      <c r="A371">
        <v>2561400000</v>
      </c>
      <c r="B371" t="s">
        <v>19</v>
      </c>
      <c r="C371" t="s">
        <v>91</v>
      </c>
      <c r="D371" t="s">
        <v>19</v>
      </c>
      <c r="E371" s="13">
        <v>45566</v>
      </c>
      <c r="F371">
        <v>97755.343399999998</v>
      </c>
      <c r="G371" t="s">
        <v>140</v>
      </c>
    </row>
    <row r="372" spans="1:7" x14ac:dyDescent="0.3">
      <c r="A372">
        <v>2561400000</v>
      </c>
      <c r="B372" t="s">
        <v>19</v>
      </c>
      <c r="C372" t="s">
        <v>91</v>
      </c>
      <c r="D372" t="s">
        <v>19</v>
      </c>
      <c r="E372" s="13">
        <v>45597</v>
      </c>
      <c r="F372">
        <v>97755.343399999998</v>
      </c>
      <c r="G372" t="s">
        <v>140</v>
      </c>
    </row>
    <row r="373" spans="1:7" x14ac:dyDescent="0.3">
      <c r="A373">
        <v>2561400000</v>
      </c>
      <c r="B373" t="s">
        <v>19</v>
      </c>
      <c r="C373" t="s">
        <v>91</v>
      </c>
      <c r="D373" t="s">
        <v>19</v>
      </c>
      <c r="E373" s="13">
        <v>45627</v>
      </c>
      <c r="F373">
        <v>97755.343399999998</v>
      </c>
      <c r="G373" t="s">
        <v>140</v>
      </c>
    </row>
    <row r="374" spans="1:7" x14ac:dyDescent="0.3">
      <c r="A374">
        <v>2561400000</v>
      </c>
      <c r="B374" t="s">
        <v>19</v>
      </c>
      <c r="C374" t="s">
        <v>91</v>
      </c>
      <c r="D374" t="s">
        <v>19</v>
      </c>
      <c r="E374" s="13">
        <v>45658</v>
      </c>
      <c r="F374">
        <v>0</v>
      </c>
      <c r="G374" t="s">
        <v>140</v>
      </c>
    </row>
    <row r="375" spans="1:7" x14ac:dyDescent="0.3">
      <c r="A375">
        <v>2561400000</v>
      </c>
      <c r="B375" t="s">
        <v>19</v>
      </c>
      <c r="C375" t="s">
        <v>91</v>
      </c>
      <c r="D375" t="s">
        <v>19</v>
      </c>
      <c r="E375" s="13">
        <v>45689</v>
      </c>
      <c r="F375">
        <v>0</v>
      </c>
      <c r="G375" t="s">
        <v>140</v>
      </c>
    </row>
    <row r="376" spans="1:7" x14ac:dyDescent="0.3">
      <c r="A376">
        <v>2561400000</v>
      </c>
      <c r="B376" t="s">
        <v>19</v>
      </c>
      <c r="C376" t="s">
        <v>91</v>
      </c>
      <c r="D376" t="s">
        <v>19</v>
      </c>
      <c r="E376" s="13">
        <v>45717</v>
      </c>
      <c r="F376">
        <v>0</v>
      </c>
      <c r="G376" t="s">
        <v>140</v>
      </c>
    </row>
    <row r="377" spans="1:7" x14ac:dyDescent="0.3">
      <c r="A377">
        <v>2561400000</v>
      </c>
      <c r="B377" t="s">
        <v>19</v>
      </c>
      <c r="C377" t="s">
        <v>91</v>
      </c>
      <c r="D377" t="s">
        <v>19</v>
      </c>
      <c r="E377" s="13">
        <v>45748</v>
      </c>
      <c r="F377">
        <v>0</v>
      </c>
      <c r="G377" t="s">
        <v>140</v>
      </c>
    </row>
    <row r="378" spans="1:7" x14ac:dyDescent="0.3">
      <c r="A378">
        <v>2561400000</v>
      </c>
      <c r="B378" t="s">
        <v>19</v>
      </c>
      <c r="C378" t="s">
        <v>91</v>
      </c>
      <c r="D378" t="s">
        <v>19</v>
      </c>
      <c r="E378" s="13">
        <v>45778</v>
      </c>
      <c r="F378">
        <v>0</v>
      </c>
      <c r="G378" t="s">
        <v>140</v>
      </c>
    </row>
    <row r="379" spans="1:7" x14ac:dyDescent="0.3">
      <c r="A379">
        <v>2561400000</v>
      </c>
      <c r="B379" t="s">
        <v>19</v>
      </c>
      <c r="C379" t="s">
        <v>91</v>
      </c>
      <c r="D379" t="s">
        <v>19</v>
      </c>
      <c r="E379" s="13">
        <v>45809</v>
      </c>
      <c r="F379">
        <v>0</v>
      </c>
      <c r="G379" t="s">
        <v>140</v>
      </c>
    </row>
    <row r="380" spans="1:7" x14ac:dyDescent="0.3">
      <c r="A380">
        <v>2627300000</v>
      </c>
      <c r="B380" t="s">
        <v>49</v>
      </c>
      <c r="C380" t="s">
        <v>91</v>
      </c>
      <c r="D380" t="s">
        <v>22</v>
      </c>
      <c r="E380" s="13">
        <v>45292</v>
      </c>
      <c r="F380">
        <v>11832.96627975</v>
      </c>
      <c r="G380" t="s">
        <v>141</v>
      </c>
    </row>
    <row r="381" spans="1:7" x14ac:dyDescent="0.3">
      <c r="A381">
        <v>2627300000</v>
      </c>
      <c r="B381" t="s">
        <v>49</v>
      </c>
      <c r="C381" t="s">
        <v>91</v>
      </c>
      <c r="D381" t="s">
        <v>22</v>
      </c>
      <c r="E381" s="13">
        <v>45323</v>
      </c>
      <c r="F381">
        <v>10668.46724075</v>
      </c>
      <c r="G381" t="s">
        <v>141</v>
      </c>
    </row>
    <row r="382" spans="1:7" x14ac:dyDescent="0.3">
      <c r="A382">
        <v>2627300000</v>
      </c>
      <c r="B382" t="s">
        <v>49</v>
      </c>
      <c r="C382" t="s">
        <v>91</v>
      </c>
      <c r="D382" t="s">
        <v>22</v>
      </c>
      <c r="E382" s="13">
        <v>45352</v>
      </c>
      <c r="F382">
        <v>18729.5658</v>
      </c>
      <c r="G382" t="s">
        <v>141</v>
      </c>
    </row>
    <row r="383" spans="1:7" x14ac:dyDescent="0.3">
      <c r="A383">
        <v>2627300000</v>
      </c>
      <c r="B383" t="s">
        <v>49</v>
      </c>
      <c r="C383" t="s">
        <v>91</v>
      </c>
      <c r="D383" t="s">
        <v>22</v>
      </c>
      <c r="E383" s="13">
        <v>45383</v>
      </c>
      <c r="F383">
        <v>13879.425999999999</v>
      </c>
      <c r="G383" t="s">
        <v>141</v>
      </c>
    </row>
    <row r="384" spans="1:7" x14ac:dyDescent="0.3">
      <c r="A384">
        <v>2627300000</v>
      </c>
      <c r="B384" t="s">
        <v>49</v>
      </c>
      <c r="C384" t="s">
        <v>91</v>
      </c>
      <c r="D384" t="s">
        <v>22</v>
      </c>
      <c r="E384" s="13">
        <v>45413</v>
      </c>
      <c r="F384">
        <v>6075.5309999999999</v>
      </c>
      <c r="G384" t="s">
        <v>141</v>
      </c>
    </row>
    <row r="385" spans="1:7" x14ac:dyDescent="0.3">
      <c r="A385">
        <v>2627300000</v>
      </c>
      <c r="B385" t="s">
        <v>49</v>
      </c>
      <c r="C385" t="s">
        <v>91</v>
      </c>
      <c r="D385" t="s">
        <v>22</v>
      </c>
      <c r="E385" s="13">
        <v>45444</v>
      </c>
      <c r="F385">
        <v>16220.1589</v>
      </c>
      <c r="G385" t="s">
        <v>141</v>
      </c>
    </row>
    <row r="386" spans="1:7" x14ac:dyDescent="0.3">
      <c r="A386">
        <v>2627300000</v>
      </c>
      <c r="B386" t="s">
        <v>49</v>
      </c>
      <c r="C386" t="s">
        <v>91</v>
      </c>
      <c r="D386" t="s">
        <v>22</v>
      </c>
      <c r="E386" s="13">
        <v>45474</v>
      </c>
      <c r="F386">
        <v>11514.541499999999</v>
      </c>
      <c r="G386" t="s">
        <v>141</v>
      </c>
    </row>
    <row r="387" spans="1:7" x14ac:dyDescent="0.3">
      <c r="A387">
        <v>2627300000</v>
      </c>
      <c r="B387" t="s">
        <v>49</v>
      </c>
      <c r="C387" t="s">
        <v>91</v>
      </c>
      <c r="D387" t="s">
        <v>22</v>
      </c>
      <c r="E387" s="13">
        <v>45505</v>
      </c>
      <c r="F387">
        <v>11156.683999999999</v>
      </c>
      <c r="G387" t="s">
        <v>141</v>
      </c>
    </row>
    <row r="388" spans="1:7" x14ac:dyDescent="0.3">
      <c r="A388">
        <v>2627300000</v>
      </c>
      <c r="B388" t="s">
        <v>49</v>
      </c>
      <c r="C388" t="s">
        <v>91</v>
      </c>
      <c r="D388" t="s">
        <v>22</v>
      </c>
      <c r="E388" s="13">
        <v>45536</v>
      </c>
      <c r="F388">
        <v>13266.5368</v>
      </c>
      <c r="G388" t="s">
        <v>141</v>
      </c>
    </row>
    <row r="389" spans="1:7" x14ac:dyDescent="0.3">
      <c r="A389">
        <v>2627300000</v>
      </c>
      <c r="B389" t="s">
        <v>49</v>
      </c>
      <c r="C389" t="s">
        <v>91</v>
      </c>
      <c r="D389" t="s">
        <v>22</v>
      </c>
      <c r="E389" s="13">
        <v>45566</v>
      </c>
      <c r="F389">
        <v>6528.4340000000002</v>
      </c>
      <c r="G389" t="s">
        <v>141</v>
      </c>
    </row>
    <row r="390" spans="1:7" x14ac:dyDescent="0.3">
      <c r="A390">
        <v>2627300000</v>
      </c>
      <c r="B390" t="s">
        <v>49</v>
      </c>
      <c r="C390" t="s">
        <v>91</v>
      </c>
      <c r="D390" t="s">
        <v>22</v>
      </c>
      <c r="E390" s="13">
        <v>45597</v>
      </c>
      <c r="F390">
        <v>12028.489</v>
      </c>
      <c r="G390" t="s">
        <v>141</v>
      </c>
    </row>
    <row r="391" spans="1:7" x14ac:dyDescent="0.3">
      <c r="A391">
        <v>2627300000</v>
      </c>
      <c r="B391" t="s">
        <v>49</v>
      </c>
      <c r="C391" t="s">
        <v>91</v>
      </c>
      <c r="D391" t="s">
        <v>22</v>
      </c>
      <c r="E391" s="13">
        <v>45627</v>
      </c>
      <c r="F391">
        <v>31238.46724075</v>
      </c>
      <c r="G391" t="s">
        <v>141</v>
      </c>
    </row>
    <row r="392" spans="1:7" x14ac:dyDescent="0.3">
      <c r="A392">
        <v>2627300000</v>
      </c>
      <c r="B392" t="s">
        <v>49</v>
      </c>
      <c r="C392" t="s">
        <v>91</v>
      </c>
      <c r="D392" t="s">
        <v>22</v>
      </c>
      <c r="E392" s="13">
        <v>45658</v>
      </c>
      <c r="F392">
        <v>0</v>
      </c>
      <c r="G392" t="s">
        <v>141</v>
      </c>
    </row>
    <row r="393" spans="1:7" x14ac:dyDescent="0.3">
      <c r="A393">
        <v>2627300000</v>
      </c>
      <c r="B393" t="s">
        <v>49</v>
      </c>
      <c r="C393" t="s">
        <v>91</v>
      </c>
      <c r="D393" t="s">
        <v>22</v>
      </c>
      <c r="E393" s="13">
        <v>45689</v>
      </c>
      <c r="F393">
        <v>0</v>
      </c>
      <c r="G393" t="s">
        <v>141</v>
      </c>
    </row>
    <row r="394" spans="1:7" x14ac:dyDescent="0.3">
      <c r="A394">
        <v>2627300000</v>
      </c>
      <c r="B394" t="s">
        <v>49</v>
      </c>
      <c r="C394" t="s">
        <v>91</v>
      </c>
      <c r="D394" t="s">
        <v>22</v>
      </c>
      <c r="E394" s="13">
        <v>45717</v>
      </c>
      <c r="F394">
        <v>0</v>
      </c>
      <c r="G394" t="s">
        <v>141</v>
      </c>
    </row>
    <row r="395" spans="1:7" x14ac:dyDescent="0.3">
      <c r="A395">
        <v>2627300000</v>
      </c>
      <c r="B395" t="s">
        <v>49</v>
      </c>
      <c r="C395" t="s">
        <v>91</v>
      </c>
      <c r="D395" t="s">
        <v>22</v>
      </c>
      <c r="E395" s="13">
        <v>45748</v>
      </c>
      <c r="F395">
        <v>0</v>
      </c>
      <c r="G395" t="s">
        <v>141</v>
      </c>
    </row>
    <row r="396" spans="1:7" x14ac:dyDescent="0.3">
      <c r="A396">
        <v>2627300000</v>
      </c>
      <c r="B396" t="s">
        <v>49</v>
      </c>
      <c r="C396" t="s">
        <v>91</v>
      </c>
      <c r="D396" t="s">
        <v>22</v>
      </c>
      <c r="E396" s="13">
        <v>45778</v>
      </c>
      <c r="F396">
        <v>0</v>
      </c>
      <c r="G396" t="s">
        <v>141</v>
      </c>
    </row>
    <row r="397" spans="1:7" x14ac:dyDescent="0.3">
      <c r="A397">
        <v>2627300000</v>
      </c>
      <c r="B397" t="s">
        <v>49</v>
      </c>
      <c r="C397" t="s">
        <v>91</v>
      </c>
      <c r="D397" t="s">
        <v>22</v>
      </c>
      <c r="E397" s="13">
        <v>45809</v>
      </c>
      <c r="F397">
        <v>0</v>
      </c>
      <c r="G397" t="s">
        <v>141</v>
      </c>
    </row>
    <row r="398" spans="1:7" x14ac:dyDescent="0.3">
      <c r="A398">
        <v>2627100000</v>
      </c>
      <c r="B398" t="s">
        <v>47</v>
      </c>
      <c r="C398" t="s">
        <v>91</v>
      </c>
      <c r="D398" t="s">
        <v>22</v>
      </c>
      <c r="E398" s="13">
        <v>45292</v>
      </c>
      <c r="F398">
        <v>5825.3423401250002</v>
      </c>
      <c r="G398" t="s">
        <v>142</v>
      </c>
    </row>
    <row r="399" spans="1:7" x14ac:dyDescent="0.3">
      <c r="A399">
        <v>2627100000</v>
      </c>
      <c r="B399" t="s">
        <v>47</v>
      </c>
      <c r="C399" t="s">
        <v>91</v>
      </c>
      <c r="D399" t="s">
        <v>22</v>
      </c>
      <c r="E399" s="13">
        <v>45323</v>
      </c>
      <c r="F399">
        <v>1805.8392563750001</v>
      </c>
      <c r="G399" t="s">
        <v>142</v>
      </c>
    </row>
    <row r="400" spans="1:7" x14ac:dyDescent="0.3">
      <c r="A400">
        <v>2627100000</v>
      </c>
      <c r="B400" t="s">
        <v>47</v>
      </c>
      <c r="C400" t="s">
        <v>91</v>
      </c>
      <c r="D400" t="s">
        <v>22</v>
      </c>
      <c r="E400" s="13">
        <v>45352</v>
      </c>
      <c r="F400">
        <v>9079.84</v>
      </c>
      <c r="G400" t="s">
        <v>142</v>
      </c>
    </row>
    <row r="401" spans="1:7" x14ac:dyDescent="0.3">
      <c r="A401">
        <v>2627100000</v>
      </c>
      <c r="B401" t="s">
        <v>47</v>
      </c>
      <c r="C401" t="s">
        <v>91</v>
      </c>
      <c r="D401" t="s">
        <v>22</v>
      </c>
      <c r="E401" s="13">
        <v>45383</v>
      </c>
      <c r="F401">
        <v>10433.467000000001</v>
      </c>
      <c r="G401" t="s">
        <v>142</v>
      </c>
    </row>
    <row r="402" spans="1:7" x14ac:dyDescent="0.3">
      <c r="A402">
        <v>2627100000</v>
      </c>
      <c r="B402" t="s">
        <v>47</v>
      </c>
      <c r="C402" t="s">
        <v>91</v>
      </c>
      <c r="D402" t="s">
        <v>22</v>
      </c>
      <c r="E402" s="13">
        <v>45413</v>
      </c>
      <c r="F402">
        <v>10286.197899999999</v>
      </c>
      <c r="G402" t="s">
        <v>142</v>
      </c>
    </row>
    <row r="403" spans="1:7" x14ac:dyDescent="0.3">
      <c r="A403">
        <v>2627100000</v>
      </c>
      <c r="B403" t="s">
        <v>47</v>
      </c>
      <c r="C403" t="s">
        <v>91</v>
      </c>
      <c r="D403" t="s">
        <v>22</v>
      </c>
      <c r="E403" s="13">
        <v>45444</v>
      </c>
      <c r="F403">
        <v>3214.2197999999999</v>
      </c>
      <c r="G403" t="s">
        <v>142</v>
      </c>
    </row>
    <row r="404" spans="1:7" x14ac:dyDescent="0.3">
      <c r="A404">
        <v>2627100000</v>
      </c>
      <c r="B404" t="s">
        <v>47</v>
      </c>
      <c r="C404" t="s">
        <v>91</v>
      </c>
      <c r="D404" t="s">
        <v>22</v>
      </c>
      <c r="E404" s="13">
        <v>45474</v>
      </c>
      <c r="F404">
        <v>4135.1871000000001</v>
      </c>
      <c r="G404" t="s">
        <v>142</v>
      </c>
    </row>
    <row r="405" spans="1:7" x14ac:dyDescent="0.3">
      <c r="A405">
        <v>2627100000</v>
      </c>
      <c r="B405" t="s">
        <v>47</v>
      </c>
      <c r="C405" t="s">
        <v>91</v>
      </c>
      <c r="D405" t="s">
        <v>22</v>
      </c>
      <c r="E405" s="13">
        <v>45505</v>
      </c>
      <c r="F405">
        <v>2146.4432000000002</v>
      </c>
      <c r="G405" t="s">
        <v>142</v>
      </c>
    </row>
    <row r="406" spans="1:7" x14ac:dyDescent="0.3">
      <c r="A406">
        <v>2627100000</v>
      </c>
      <c r="B406" t="s">
        <v>47</v>
      </c>
      <c r="C406" t="s">
        <v>91</v>
      </c>
      <c r="D406" t="s">
        <v>22</v>
      </c>
      <c r="E406" s="13">
        <v>45536</v>
      </c>
      <c r="F406">
        <v>2135.0812999999998</v>
      </c>
      <c r="G406" t="s">
        <v>142</v>
      </c>
    </row>
    <row r="407" spans="1:7" x14ac:dyDescent="0.3">
      <c r="A407">
        <v>2627100000</v>
      </c>
      <c r="B407" t="s">
        <v>47</v>
      </c>
      <c r="C407" t="s">
        <v>91</v>
      </c>
      <c r="D407" t="s">
        <v>22</v>
      </c>
      <c r="E407" s="13">
        <v>45566</v>
      </c>
      <c r="F407">
        <v>11247.1194</v>
      </c>
      <c r="G407" t="s">
        <v>142</v>
      </c>
    </row>
    <row r="408" spans="1:7" x14ac:dyDescent="0.3">
      <c r="A408">
        <v>2627100000</v>
      </c>
      <c r="B408" t="s">
        <v>47</v>
      </c>
      <c r="C408" t="s">
        <v>91</v>
      </c>
      <c r="D408" t="s">
        <v>22</v>
      </c>
      <c r="E408" s="13">
        <v>45597</v>
      </c>
      <c r="F408">
        <v>1803.5413000000001</v>
      </c>
      <c r="G408" t="s">
        <v>142</v>
      </c>
    </row>
    <row r="409" spans="1:7" x14ac:dyDescent="0.3">
      <c r="A409">
        <v>2627100000</v>
      </c>
      <c r="B409" t="s">
        <v>47</v>
      </c>
      <c r="C409" t="s">
        <v>91</v>
      </c>
      <c r="D409" t="s">
        <v>22</v>
      </c>
      <c r="E409" s="13">
        <v>45627</v>
      </c>
      <c r="F409">
        <v>2119.2665999999999</v>
      </c>
      <c r="G409" t="s">
        <v>142</v>
      </c>
    </row>
    <row r="410" spans="1:7" x14ac:dyDescent="0.3">
      <c r="A410">
        <v>2627100000</v>
      </c>
      <c r="B410" t="s">
        <v>47</v>
      </c>
      <c r="C410" t="s">
        <v>91</v>
      </c>
      <c r="D410" t="s">
        <v>22</v>
      </c>
      <c r="E410" s="13">
        <v>45658</v>
      </c>
      <c r="F410">
        <v>0</v>
      </c>
      <c r="G410" t="s">
        <v>142</v>
      </c>
    </row>
    <row r="411" spans="1:7" x14ac:dyDescent="0.3">
      <c r="A411">
        <v>2627100000</v>
      </c>
      <c r="B411" t="s">
        <v>47</v>
      </c>
      <c r="C411" t="s">
        <v>91</v>
      </c>
      <c r="D411" t="s">
        <v>22</v>
      </c>
      <c r="E411" s="13">
        <v>45689</v>
      </c>
      <c r="F411">
        <v>0</v>
      </c>
      <c r="G411" t="s">
        <v>142</v>
      </c>
    </row>
    <row r="412" spans="1:7" x14ac:dyDescent="0.3">
      <c r="A412">
        <v>2627100000</v>
      </c>
      <c r="B412" t="s">
        <v>47</v>
      </c>
      <c r="C412" t="s">
        <v>91</v>
      </c>
      <c r="D412" t="s">
        <v>22</v>
      </c>
      <c r="E412" s="13">
        <v>45717</v>
      </c>
      <c r="F412">
        <v>0</v>
      </c>
      <c r="G412" t="s">
        <v>142</v>
      </c>
    </row>
    <row r="413" spans="1:7" x14ac:dyDescent="0.3">
      <c r="A413">
        <v>2627100000</v>
      </c>
      <c r="B413" t="s">
        <v>47</v>
      </c>
      <c r="C413" t="s">
        <v>91</v>
      </c>
      <c r="D413" t="s">
        <v>22</v>
      </c>
      <c r="E413" s="13">
        <v>45748</v>
      </c>
      <c r="F413">
        <v>0</v>
      </c>
      <c r="G413" t="s">
        <v>142</v>
      </c>
    </row>
    <row r="414" spans="1:7" x14ac:dyDescent="0.3">
      <c r="A414">
        <v>2627100000</v>
      </c>
      <c r="B414" t="s">
        <v>47</v>
      </c>
      <c r="C414" t="s">
        <v>91</v>
      </c>
      <c r="D414" t="s">
        <v>22</v>
      </c>
      <c r="E414" s="13">
        <v>45778</v>
      </c>
      <c r="F414">
        <v>0</v>
      </c>
      <c r="G414" t="s">
        <v>142</v>
      </c>
    </row>
    <row r="415" spans="1:7" x14ac:dyDescent="0.3">
      <c r="A415">
        <v>2627100000</v>
      </c>
      <c r="B415" t="s">
        <v>47</v>
      </c>
      <c r="C415" t="s">
        <v>91</v>
      </c>
      <c r="D415" t="s">
        <v>22</v>
      </c>
      <c r="E415" s="13">
        <v>45809</v>
      </c>
      <c r="F415">
        <v>0</v>
      </c>
      <c r="G415" t="s">
        <v>142</v>
      </c>
    </row>
    <row r="416" spans="1:7" x14ac:dyDescent="0.3">
      <c r="A416">
        <v>2601100200</v>
      </c>
      <c r="B416" t="s">
        <v>21</v>
      </c>
      <c r="C416" t="s">
        <v>91</v>
      </c>
      <c r="D416" t="s">
        <v>21</v>
      </c>
      <c r="E416" s="13">
        <v>45292</v>
      </c>
      <c r="F416">
        <v>12827.642847249999</v>
      </c>
      <c r="G416" t="s">
        <v>143</v>
      </c>
    </row>
    <row r="417" spans="1:7" x14ac:dyDescent="0.3">
      <c r="A417">
        <v>2601100200</v>
      </c>
      <c r="B417" t="s">
        <v>21</v>
      </c>
      <c r="C417" t="s">
        <v>91</v>
      </c>
      <c r="D417" t="s">
        <v>21</v>
      </c>
      <c r="E417" s="13">
        <v>45323</v>
      </c>
      <c r="F417">
        <v>8990.7802792500006</v>
      </c>
      <c r="G417" t="s">
        <v>143</v>
      </c>
    </row>
    <row r="418" spans="1:7" x14ac:dyDescent="0.3">
      <c r="A418">
        <v>2601100200</v>
      </c>
      <c r="B418" t="s">
        <v>21</v>
      </c>
      <c r="C418" t="s">
        <v>91</v>
      </c>
      <c r="D418" t="s">
        <v>21</v>
      </c>
      <c r="E418" s="13">
        <v>45352</v>
      </c>
      <c r="F418">
        <v>0</v>
      </c>
      <c r="G418" t="s">
        <v>143</v>
      </c>
    </row>
    <row r="419" spans="1:7" x14ac:dyDescent="0.3">
      <c r="A419">
        <v>2601100200</v>
      </c>
      <c r="B419" t="s">
        <v>21</v>
      </c>
      <c r="C419" t="s">
        <v>91</v>
      </c>
      <c r="D419" t="s">
        <v>21</v>
      </c>
      <c r="E419" s="13">
        <v>45383</v>
      </c>
      <c r="F419">
        <v>3847.8</v>
      </c>
      <c r="G419" t="s">
        <v>143</v>
      </c>
    </row>
    <row r="420" spans="1:7" x14ac:dyDescent="0.3">
      <c r="A420">
        <v>2601100200</v>
      </c>
      <c r="B420" t="s">
        <v>21</v>
      </c>
      <c r="C420" t="s">
        <v>91</v>
      </c>
      <c r="D420" t="s">
        <v>21</v>
      </c>
      <c r="E420" s="13">
        <v>45413</v>
      </c>
      <c r="F420">
        <v>7295.2231000000002</v>
      </c>
      <c r="G420" t="s">
        <v>143</v>
      </c>
    </row>
    <row r="421" spans="1:7" x14ac:dyDescent="0.3">
      <c r="A421">
        <v>2601100200</v>
      </c>
      <c r="B421" t="s">
        <v>21</v>
      </c>
      <c r="C421" t="s">
        <v>91</v>
      </c>
      <c r="D421" t="s">
        <v>21</v>
      </c>
      <c r="E421" s="13">
        <v>45444</v>
      </c>
      <c r="F421">
        <v>7630.3810000000003</v>
      </c>
      <c r="G421" t="s">
        <v>143</v>
      </c>
    </row>
    <row r="422" spans="1:7" x14ac:dyDescent="0.3">
      <c r="A422">
        <v>2601100200</v>
      </c>
      <c r="B422" t="s">
        <v>21</v>
      </c>
      <c r="C422" t="s">
        <v>91</v>
      </c>
      <c r="D422" t="s">
        <v>21</v>
      </c>
      <c r="E422" s="13">
        <v>45474</v>
      </c>
      <c r="F422">
        <v>10130.7976</v>
      </c>
      <c r="G422" t="s">
        <v>143</v>
      </c>
    </row>
    <row r="423" spans="1:7" x14ac:dyDescent="0.3">
      <c r="A423">
        <v>2601100200</v>
      </c>
      <c r="B423" t="s">
        <v>21</v>
      </c>
      <c r="C423" t="s">
        <v>91</v>
      </c>
      <c r="D423" t="s">
        <v>21</v>
      </c>
      <c r="E423" s="13">
        <v>45505</v>
      </c>
      <c r="F423">
        <v>1985.7673</v>
      </c>
      <c r="G423" t="s">
        <v>143</v>
      </c>
    </row>
    <row r="424" spans="1:7" x14ac:dyDescent="0.3">
      <c r="A424">
        <v>2601100200</v>
      </c>
      <c r="B424" t="s">
        <v>21</v>
      </c>
      <c r="C424" t="s">
        <v>91</v>
      </c>
      <c r="D424" t="s">
        <v>21</v>
      </c>
      <c r="E424" s="13">
        <v>45536</v>
      </c>
      <c r="F424">
        <v>0</v>
      </c>
      <c r="G424" t="s">
        <v>143</v>
      </c>
    </row>
    <row r="425" spans="1:7" x14ac:dyDescent="0.3">
      <c r="A425">
        <v>2601100200</v>
      </c>
      <c r="B425" t="s">
        <v>21</v>
      </c>
      <c r="C425" t="s">
        <v>91</v>
      </c>
      <c r="D425" t="s">
        <v>21</v>
      </c>
      <c r="E425" s="13">
        <v>45566</v>
      </c>
      <c r="F425">
        <v>10368.1633</v>
      </c>
      <c r="G425" t="s">
        <v>143</v>
      </c>
    </row>
    <row r="426" spans="1:7" x14ac:dyDescent="0.3">
      <c r="A426">
        <v>2601100200</v>
      </c>
      <c r="B426" t="s">
        <v>21</v>
      </c>
      <c r="C426" t="s">
        <v>91</v>
      </c>
      <c r="D426" t="s">
        <v>21</v>
      </c>
      <c r="E426" s="13">
        <v>45597</v>
      </c>
      <c r="F426">
        <v>5253.4327999999996</v>
      </c>
      <c r="G426" t="s">
        <v>143</v>
      </c>
    </row>
    <row r="427" spans="1:7" x14ac:dyDescent="0.3">
      <c r="A427">
        <v>2601100200</v>
      </c>
      <c r="B427" t="s">
        <v>21</v>
      </c>
      <c r="C427" t="s">
        <v>91</v>
      </c>
      <c r="D427" t="s">
        <v>21</v>
      </c>
      <c r="E427" s="13">
        <v>45627</v>
      </c>
      <c r="F427">
        <v>6869.5330000000004</v>
      </c>
      <c r="G427" t="s">
        <v>143</v>
      </c>
    </row>
    <row r="428" spans="1:7" x14ac:dyDescent="0.3">
      <c r="A428">
        <v>2601100200</v>
      </c>
      <c r="B428" t="s">
        <v>21</v>
      </c>
      <c r="C428" t="s">
        <v>91</v>
      </c>
      <c r="D428" t="s">
        <v>21</v>
      </c>
      <c r="E428" s="13">
        <v>45658</v>
      </c>
      <c r="F428">
        <v>0</v>
      </c>
      <c r="G428" t="s">
        <v>143</v>
      </c>
    </row>
    <row r="429" spans="1:7" x14ac:dyDescent="0.3">
      <c r="A429">
        <v>2601100200</v>
      </c>
      <c r="B429" t="s">
        <v>21</v>
      </c>
      <c r="C429" t="s">
        <v>91</v>
      </c>
      <c r="D429" t="s">
        <v>21</v>
      </c>
      <c r="E429" s="13">
        <v>45689</v>
      </c>
      <c r="F429">
        <v>0</v>
      </c>
      <c r="G429" t="s">
        <v>143</v>
      </c>
    </row>
    <row r="430" spans="1:7" x14ac:dyDescent="0.3">
      <c r="A430">
        <v>2601100200</v>
      </c>
      <c r="B430" t="s">
        <v>21</v>
      </c>
      <c r="C430" t="s">
        <v>91</v>
      </c>
      <c r="D430" t="s">
        <v>21</v>
      </c>
      <c r="E430" s="13">
        <v>45717</v>
      </c>
      <c r="F430">
        <v>0</v>
      </c>
      <c r="G430" t="s">
        <v>143</v>
      </c>
    </row>
    <row r="431" spans="1:7" x14ac:dyDescent="0.3">
      <c r="A431">
        <v>2601100200</v>
      </c>
      <c r="B431" t="s">
        <v>21</v>
      </c>
      <c r="C431" t="s">
        <v>91</v>
      </c>
      <c r="D431" t="s">
        <v>21</v>
      </c>
      <c r="E431" s="13">
        <v>45748</v>
      </c>
      <c r="F431">
        <v>0</v>
      </c>
      <c r="G431" t="s">
        <v>143</v>
      </c>
    </row>
    <row r="432" spans="1:7" x14ac:dyDescent="0.3">
      <c r="A432">
        <v>2601100200</v>
      </c>
      <c r="B432" t="s">
        <v>21</v>
      </c>
      <c r="C432" t="s">
        <v>91</v>
      </c>
      <c r="D432" t="s">
        <v>21</v>
      </c>
      <c r="E432" s="13">
        <v>45778</v>
      </c>
      <c r="F432">
        <v>0</v>
      </c>
      <c r="G432" t="s">
        <v>143</v>
      </c>
    </row>
    <row r="433" spans="1:7" x14ac:dyDescent="0.3">
      <c r="A433">
        <v>2601100200</v>
      </c>
      <c r="B433" t="s">
        <v>21</v>
      </c>
      <c r="C433" t="s">
        <v>91</v>
      </c>
      <c r="D433" t="s">
        <v>21</v>
      </c>
      <c r="E433" s="13">
        <v>45809</v>
      </c>
      <c r="F433">
        <v>0</v>
      </c>
      <c r="G433" t="s">
        <v>143</v>
      </c>
    </row>
    <row r="434" spans="1:7" x14ac:dyDescent="0.3">
      <c r="A434">
        <v>2633100000</v>
      </c>
      <c r="B434" t="s">
        <v>44</v>
      </c>
      <c r="C434" t="s">
        <v>91</v>
      </c>
      <c r="D434" t="s">
        <v>20</v>
      </c>
      <c r="E434" s="13">
        <v>45292</v>
      </c>
      <c r="F434">
        <v>71770.089737500006</v>
      </c>
      <c r="G434" t="s">
        <v>144</v>
      </c>
    </row>
    <row r="435" spans="1:7" x14ac:dyDescent="0.3">
      <c r="A435">
        <v>2633100000</v>
      </c>
      <c r="B435" t="s">
        <v>44</v>
      </c>
      <c r="C435" t="s">
        <v>91</v>
      </c>
      <c r="D435" t="s">
        <v>20</v>
      </c>
      <c r="E435" s="13">
        <v>45323</v>
      </c>
      <c r="F435">
        <v>13956.64980325</v>
      </c>
      <c r="G435" t="s">
        <v>144</v>
      </c>
    </row>
    <row r="436" spans="1:7" x14ac:dyDescent="0.3">
      <c r="A436">
        <v>2633100000</v>
      </c>
      <c r="B436" t="s">
        <v>44</v>
      </c>
      <c r="C436" t="s">
        <v>91</v>
      </c>
      <c r="D436" t="s">
        <v>20</v>
      </c>
      <c r="E436" s="13">
        <v>45352</v>
      </c>
      <c r="F436">
        <v>0</v>
      </c>
      <c r="G436" t="s">
        <v>144</v>
      </c>
    </row>
    <row r="437" spans="1:7" x14ac:dyDescent="0.3">
      <c r="A437">
        <v>2633100000</v>
      </c>
      <c r="B437" t="s">
        <v>44</v>
      </c>
      <c r="C437" t="s">
        <v>91</v>
      </c>
      <c r="D437" t="s">
        <v>20</v>
      </c>
      <c r="E437" s="13">
        <v>45383</v>
      </c>
      <c r="F437">
        <v>0</v>
      </c>
      <c r="G437" t="s">
        <v>144</v>
      </c>
    </row>
    <row r="438" spans="1:7" x14ac:dyDescent="0.3">
      <c r="A438">
        <v>2633100000</v>
      </c>
      <c r="B438" t="s">
        <v>44</v>
      </c>
      <c r="C438" t="s">
        <v>91</v>
      </c>
      <c r="D438" t="s">
        <v>20</v>
      </c>
      <c r="E438" s="13">
        <v>45413</v>
      </c>
      <c r="F438">
        <v>0</v>
      </c>
      <c r="G438" t="s">
        <v>144</v>
      </c>
    </row>
    <row r="439" spans="1:7" x14ac:dyDescent="0.3">
      <c r="A439">
        <v>2633100000</v>
      </c>
      <c r="B439" t="s">
        <v>44</v>
      </c>
      <c r="C439" t="s">
        <v>91</v>
      </c>
      <c r="D439" t="s">
        <v>20</v>
      </c>
      <c r="E439" s="13">
        <v>45444</v>
      </c>
      <c r="F439">
        <v>33073.329299999998</v>
      </c>
      <c r="G439" t="s">
        <v>144</v>
      </c>
    </row>
    <row r="440" spans="1:7" x14ac:dyDescent="0.3">
      <c r="A440">
        <v>2633100000</v>
      </c>
      <c r="B440" t="s">
        <v>44</v>
      </c>
      <c r="C440" t="s">
        <v>91</v>
      </c>
      <c r="D440" t="s">
        <v>20</v>
      </c>
      <c r="E440" s="13">
        <v>45474</v>
      </c>
      <c r="F440">
        <v>8268.3292999999994</v>
      </c>
      <c r="G440" t="s">
        <v>144</v>
      </c>
    </row>
    <row r="441" spans="1:7" x14ac:dyDescent="0.3">
      <c r="A441">
        <v>2633100000</v>
      </c>
      <c r="B441" t="s">
        <v>44</v>
      </c>
      <c r="C441" t="s">
        <v>91</v>
      </c>
      <c r="D441" t="s">
        <v>20</v>
      </c>
      <c r="E441" s="13">
        <v>45505</v>
      </c>
      <c r="F441">
        <v>8268.3292999999994</v>
      </c>
      <c r="G441" t="s">
        <v>144</v>
      </c>
    </row>
    <row r="442" spans="1:7" x14ac:dyDescent="0.3">
      <c r="A442">
        <v>2633100000</v>
      </c>
      <c r="B442" t="s">
        <v>44</v>
      </c>
      <c r="C442" t="s">
        <v>91</v>
      </c>
      <c r="D442" t="s">
        <v>20</v>
      </c>
      <c r="E442" s="13">
        <v>45536</v>
      </c>
      <c r="F442">
        <v>8268.3292999999994</v>
      </c>
      <c r="G442" t="s">
        <v>144</v>
      </c>
    </row>
    <row r="443" spans="1:7" x14ac:dyDescent="0.3">
      <c r="A443">
        <v>2633100000</v>
      </c>
      <c r="B443" t="s">
        <v>44</v>
      </c>
      <c r="C443" t="s">
        <v>91</v>
      </c>
      <c r="D443" t="s">
        <v>20</v>
      </c>
      <c r="E443" s="13">
        <v>45566</v>
      </c>
      <c r="F443">
        <v>8268.3292999999994</v>
      </c>
      <c r="G443" t="s">
        <v>144</v>
      </c>
    </row>
    <row r="444" spans="1:7" x14ac:dyDescent="0.3">
      <c r="A444">
        <v>2633100000</v>
      </c>
      <c r="B444" t="s">
        <v>44</v>
      </c>
      <c r="C444" t="s">
        <v>91</v>
      </c>
      <c r="D444" t="s">
        <v>20</v>
      </c>
      <c r="E444" s="13">
        <v>45597</v>
      </c>
      <c r="F444">
        <v>8268.3292999999994</v>
      </c>
      <c r="G444" t="s">
        <v>144</v>
      </c>
    </row>
    <row r="445" spans="1:7" x14ac:dyDescent="0.3">
      <c r="A445">
        <v>2633100000</v>
      </c>
      <c r="B445" t="s">
        <v>44</v>
      </c>
      <c r="C445" t="s">
        <v>91</v>
      </c>
      <c r="D445" t="s">
        <v>20</v>
      </c>
      <c r="E445" s="13">
        <v>45627</v>
      </c>
      <c r="F445">
        <v>8268.3292999999994</v>
      </c>
      <c r="G445" t="s">
        <v>144</v>
      </c>
    </row>
    <row r="446" spans="1:7" x14ac:dyDescent="0.3">
      <c r="A446">
        <v>2633100000</v>
      </c>
      <c r="B446" t="s">
        <v>44</v>
      </c>
      <c r="C446" t="s">
        <v>91</v>
      </c>
      <c r="D446" t="s">
        <v>20</v>
      </c>
      <c r="E446" s="13">
        <v>45658</v>
      </c>
      <c r="F446">
        <v>0</v>
      </c>
      <c r="G446" t="s">
        <v>144</v>
      </c>
    </row>
    <row r="447" spans="1:7" x14ac:dyDescent="0.3">
      <c r="A447">
        <v>2633100000</v>
      </c>
      <c r="B447" t="s">
        <v>44</v>
      </c>
      <c r="C447" t="s">
        <v>91</v>
      </c>
      <c r="D447" t="s">
        <v>20</v>
      </c>
      <c r="E447" s="13">
        <v>45689</v>
      </c>
      <c r="F447">
        <v>0</v>
      </c>
      <c r="G447" t="s">
        <v>144</v>
      </c>
    </row>
    <row r="448" spans="1:7" x14ac:dyDescent="0.3">
      <c r="A448">
        <v>2633100000</v>
      </c>
      <c r="B448" t="s">
        <v>44</v>
      </c>
      <c r="C448" t="s">
        <v>91</v>
      </c>
      <c r="D448" t="s">
        <v>20</v>
      </c>
      <c r="E448" s="13">
        <v>45717</v>
      </c>
      <c r="F448">
        <v>0</v>
      </c>
      <c r="G448" t="s">
        <v>144</v>
      </c>
    </row>
    <row r="449" spans="1:7" x14ac:dyDescent="0.3">
      <c r="A449">
        <v>2633100000</v>
      </c>
      <c r="B449" t="s">
        <v>44</v>
      </c>
      <c r="C449" t="s">
        <v>91</v>
      </c>
      <c r="D449" t="s">
        <v>20</v>
      </c>
      <c r="E449" s="13">
        <v>45748</v>
      </c>
      <c r="F449">
        <v>0</v>
      </c>
      <c r="G449" t="s">
        <v>144</v>
      </c>
    </row>
    <row r="450" spans="1:7" x14ac:dyDescent="0.3">
      <c r="A450">
        <v>2633100000</v>
      </c>
      <c r="B450" t="s">
        <v>44</v>
      </c>
      <c r="C450" t="s">
        <v>91</v>
      </c>
      <c r="D450" t="s">
        <v>20</v>
      </c>
      <c r="E450" s="13">
        <v>45778</v>
      </c>
      <c r="F450">
        <v>0</v>
      </c>
      <c r="G450" t="s">
        <v>144</v>
      </c>
    </row>
    <row r="451" spans="1:7" x14ac:dyDescent="0.3">
      <c r="A451">
        <v>2633100000</v>
      </c>
      <c r="B451" t="s">
        <v>44</v>
      </c>
      <c r="C451" t="s">
        <v>91</v>
      </c>
      <c r="D451" t="s">
        <v>20</v>
      </c>
      <c r="E451" s="13">
        <v>45809</v>
      </c>
      <c r="F451">
        <v>0</v>
      </c>
      <c r="G451" t="s">
        <v>144</v>
      </c>
    </row>
    <row r="452" spans="1:7" x14ac:dyDescent="0.3">
      <c r="A452">
        <v>2633600000</v>
      </c>
      <c r="B452" t="s">
        <v>45</v>
      </c>
      <c r="C452" t="s">
        <v>91</v>
      </c>
      <c r="D452" t="s">
        <v>20</v>
      </c>
      <c r="E452" s="13">
        <v>45292</v>
      </c>
      <c r="F452">
        <v>26991.973556624998</v>
      </c>
      <c r="G452" t="s">
        <v>145</v>
      </c>
    </row>
    <row r="453" spans="1:7" x14ac:dyDescent="0.3">
      <c r="A453">
        <v>2633600000</v>
      </c>
      <c r="B453" t="s">
        <v>45</v>
      </c>
      <c r="C453" t="s">
        <v>91</v>
      </c>
      <c r="D453" t="s">
        <v>20</v>
      </c>
      <c r="E453" s="13">
        <v>45323</v>
      </c>
      <c r="F453">
        <v>28304.255113750001</v>
      </c>
      <c r="G453" t="s">
        <v>145</v>
      </c>
    </row>
    <row r="454" spans="1:7" x14ac:dyDescent="0.3">
      <c r="A454">
        <v>2633600000</v>
      </c>
      <c r="B454" t="s">
        <v>45</v>
      </c>
      <c r="C454" t="s">
        <v>91</v>
      </c>
      <c r="D454" t="s">
        <v>20</v>
      </c>
      <c r="E454" s="13">
        <v>45352</v>
      </c>
      <c r="F454">
        <v>27343.58</v>
      </c>
      <c r="G454" t="s">
        <v>145</v>
      </c>
    </row>
    <row r="455" spans="1:7" x14ac:dyDescent="0.3">
      <c r="A455">
        <v>2633600000</v>
      </c>
      <c r="B455" t="s">
        <v>45</v>
      </c>
      <c r="C455" t="s">
        <v>91</v>
      </c>
      <c r="D455" t="s">
        <v>20</v>
      </c>
      <c r="E455" s="13">
        <v>45383</v>
      </c>
      <c r="F455">
        <v>24900.348000000002</v>
      </c>
      <c r="G455" t="s">
        <v>145</v>
      </c>
    </row>
    <row r="456" spans="1:7" x14ac:dyDescent="0.3">
      <c r="A456">
        <v>2633600000</v>
      </c>
      <c r="B456" t="s">
        <v>45</v>
      </c>
      <c r="C456" t="s">
        <v>91</v>
      </c>
      <c r="D456" t="s">
        <v>20</v>
      </c>
      <c r="E456" s="13">
        <v>45413</v>
      </c>
      <c r="F456">
        <v>26122.569</v>
      </c>
      <c r="G456" t="s">
        <v>145</v>
      </c>
    </row>
    <row r="457" spans="1:7" x14ac:dyDescent="0.3">
      <c r="A457">
        <v>2633600000</v>
      </c>
      <c r="B457" t="s">
        <v>45</v>
      </c>
      <c r="C457" t="s">
        <v>91</v>
      </c>
      <c r="D457" t="s">
        <v>20</v>
      </c>
      <c r="E457" s="13">
        <v>45444</v>
      </c>
      <c r="F457">
        <v>27268.2212</v>
      </c>
      <c r="G457" t="s">
        <v>145</v>
      </c>
    </row>
    <row r="458" spans="1:7" x14ac:dyDescent="0.3">
      <c r="A458">
        <v>2633600000</v>
      </c>
      <c r="B458" t="s">
        <v>45</v>
      </c>
      <c r="C458" t="s">
        <v>91</v>
      </c>
      <c r="D458" t="s">
        <v>20</v>
      </c>
      <c r="E458" s="13">
        <v>45474</v>
      </c>
      <c r="F458">
        <v>31253.6708</v>
      </c>
      <c r="G458" t="s">
        <v>145</v>
      </c>
    </row>
    <row r="459" spans="1:7" x14ac:dyDescent="0.3">
      <c r="A459">
        <v>2633600000</v>
      </c>
      <c r="B459" t="s">
        <v>45</v>
      </c>
      <c r="C459" t="s">
        <v>91</v>
      </c>
      <c r="D459" t="s">
        <v>20</v>
      </c>
      <c r="E459" s="13">
        <v>45505</v>
      </c>
      <c r="F459">
        <v>29210.1986</v>
      </c>
      <c r="G459" t="s">
        <v>145</v>
      </c>
    </row>
    <row r="460" spans="1:7" x14ac:dyDescent="0.3">
      <c r="A460">
        <v>2633600000</v>
      </c>
      <c r="B460" t="s">
        <v>45</v>
      </c>
      <c r="C460" t="s">
        <v>91</v>
      </c>
      <c r="D460" t="s">
        <v>20</v>
      </c>
      <c r="E460" s="13">
        <v>45536</v>
      </c>
      <c r="F460">
        <v>26770.2094</v>
      </c>
      <c r="G460" t="s">
        <v>145</v>
      </c>
    </row>
    <row r="461" spans="1:7" x14ac:dyDescent="0.3">
      <c r="A461">
        <v>2633600000</v>
      </c>
      <c r="B461" t="s">
        <v>45</v>
      </c>
      <c r="C461" t="s">
        <v>91</v>
      </c>
      <c r="D461" t="s">
        <v>20</v>
      </c>
      <c r="E461" s="13">
        <v>45566</v>
      </c>
      <c r="F461">
        <v>28728.9211</v>
      </c>
      <c r="G461" t="s">
        <v>145</v>
      </c>
    </row>
    <row r="462" spans="1:7" x14ac:dyDescent="0.3">
      <c r="A462">
        <v>2633600000</v>
      </c>
      <c r="B462" t="s">
        <v>45</v>
      </c>
      <c r="C462" t="s">
        <v>91</v>
      </c>
      <c r="D462" t="s">
        <v>20</v>
      </c>
      <c r="E462" s="13">
        <v>45597</v>
      </c>
      <c r="F462">
        <v>30726.582699999999</v>
      </c>
      <c r="G462" t="s">
        <v>145</v>
      </c>
    </row>
    <row r="463" spans="1:7" x14ac:dyDescent="0.3">
      <c r="A463">
        <v>2633600000</v>
      </c>
      <c r="B463" t="s">
        <v>45</v>
      </c>
      <c r="C463" t="s">
        <v>91</v>
      </c>
      <c r="D463" t="s">
        <v>20</v>
      </c>
      <c r="E463" s="13">
        <v>45627</v>
      </c>
      <c r="F463">
        <v>30158.354599999999</v>
      </c>
      <c r="G463" t="s">
        <v>145</v>
      </c>
    </row>
    <row r="464" spans="1:7" x14ac:dyDescent="0.3">
      <c r="A464">
        <v>2633600000</v>
      </c>
      <c r="B464" t="s">
        <v>45</v>
      </c>
      <c r="C464" t="s">
        <v>91</v>
      </c>
      <c r="D464" t="s">
        <v>20</v>
      </c>
      <c r="E464" s="13">
        <v>45658</v>
      </c>
      <c r="F464">
        <v>0</v>
      </c>
      <c r="G464" t="s">
        <v>145</v>
      </c>
    </row>
    <row r="465" spans="1:7" x14ac:dyDescent="0.3">
      <c r="A465">
        <v>2633600000</v>
      </c>
      <c r="B465" t="s">
        <v>45</v>
      </c>
      <c r="C465" t="s">
        <v>91</v>
      </c>
      <c r="D465" t="s">
        <v>20</v>
      </c>
      <c r="E465" s="13">
        <v>45689</v>
      </c>
      <c r="F465">
        <v>0</v>
      </c>
      <c r="G465" t="s">
        <v>145</v>
      </c>
    </row>
    <row r="466" spans="1:7" x14ac:dyDescent="0.3">
      <c r="A466">
        <v>2633600000</v>
      </c>
      <c r="B466" t="s">
        <v>45</v>
      </c>
      <c r="C466" t="s">
        <v>91</v>
      </c>
      <c r="D466" t="s">
        <v>20</v>
      </c>
      <c r="E466" s="13">
        <v>45717</v>
      </c>
      <c r="F466">
        <v>0</v>
      </c>
      <c r="G466" t="s">
        <v>145</v>
      </c>
    </row>
    <row r="467" spans="1:7" x14ac:dyDescent="0.3">
      <c r="A467">
        <v>2633600000</v>
      </c>
      <c r="B467" t="s">
        <v>45</v>
      </c>
      <c r="C467" t="s">
        <v>91</v>
      </c>
      <c r="D467" t="s">
        <v>20</v>
      </c>
      <c r="E467" s="13">
        <v>45748</v>
      </c>
      <c r="F467">
        <v>0</v>
      </c>
      <c r="G467" t="s">
        <v>145</v>
      </c>
    </row>
    <row r="468" spans="1:7" x14ac:dyDescent="0.3">
      <c r="A468">
        <v>2633600000</v>
      </c>
      <c r="B468" t="s">
        <v>45</v>
      </c>
      <c r="C468" t="s">
        <v>91</v>
      </c>
      <c r="D468" t="s">
        <v>20</v>
      </c>
      <c r="E468" s="13">
        <v>45778</v>
      </c>
      <c r="F468">
        <v>0</v>
      </c>
      <c r="G468" t="s">
        <v>145</v>
      </c>
    </row>
    <row r="469" spans="1:7" x14ac:dyDescent="0.3">
      <c r="A469">
        <v>2633600000</v>
      </c>
      <c r="B469" t="s">
        <v>45</v>
      </c>
      <c r="C469" t="s">
        <v>91</v>
      </c>
      <c r="D469" t="s">
        <v>20</v>
      </c>
      <c r="E469" s="13">
        <v>45809</v>
      </c>
      <c r="F469">
        <v>0</v>
      </c>
      <c r="G469" t="s">
        <v>145</v>
      </c>
    </row>
    <row r="470" spans="1:7" x14ac:dyDescent="0.3">
      <c r="A470">
        <v>2616100000</v>
      </c>
      <c r="B470" t="s">
        <v>46</v>
      </c>
      <c r="C470" t="s">
        <v>91</v>
      </c>
      <c r="D470" t="s">
        <v>20</v>
      </c>
      <c r="E470" s="13">
        <v>45292</v>
      </c>
      <c r="F470">
        <v>0</v>
      </c>
      <c r="G470" t="s">
        <v>146</v>
      </c>
    </row>
    <row r="471" spans="1:7" x14ac:dyDescent="0.3">
      <c r="A471">
        <v>2616100000</v>
      </c>
      <c r="B471" t="s">
        <v>46</v>
      </c>
      <c r="C471" t="s">
        <v>91</v>
      </c>
      <c r="D471" t="s">
        <v>20</v>
      </c>
      <c r="E471" s="13">
        <v>45323</v>
      </c>
      <c r="F471">
        <v>0</v>
      </c>
      <c r="G471" t="s">
        <v>146</v>
      </c>
    </row>
    <row r="472" spans="1:7" x14ac:dyDescent="0.3">
      <c r="A472">
        <v>2616100000</v>
      </c>
      <c r="B472" t="s">
        <v>46</v>
      </c>
      <c r="C472" t="s">
        <v>91</v>
      </c>
      <c r="D472" t="s">
        <v>20</v>
      </c>
      <c r="E472" s="13">
        <v>45352</v>
      </c>
      <c r="F472">
        <v>36964.048000000003</v>
      </c>
      <c r="G472" t="s">
        <v>146</v>
      </c>
    </row>
    <row r="473" spans="1:7" x14ac:dyDescent="0.3">
      <c r="A473">
        <v>2616100000</v>
      </c>
      <c r="B473" t="s">
        <v>46</v>
      </c>
      <c r="C473" t="s">
        <v>91</v>
      </c>
      <c r="D473" t="s">
        <v>20</v>
      </c>
      <c r="E473" s="13">
        <v>45383</v>
      </c>
      <c r="F473">
        <v>0</v>
      </c>
      <c r="G473" t="s">
        <v>146</v>
      </c>
    </row>
    <row r="474" spans="1:7" x14ac:dyDescent="0.3">
      <c r="A474">
        <v>2616100000</v>
      </c>
      <c r="B474" t="s">
        <v>46</v>
      </c>
      <c r="C474" t="s">
        <v>91</v>
      </c>
      <c r="D474" t="s">
        <v>20</v>
      </c>
      <c r="E474" s="13">
        <v>45413</v>
      </c>
      <c r="F474">
        <v>0</v>
      </c>
      <c r="G474" t="s">
        <v>146</v>
      </c>
    </row>
    <row r="475" spans="1:7" x14ac:dyDescent="0.3">
      <c r="A475">
        <v>2616100000</v>
      </c>
      <c r="B475" t="s">
        <v>46</v>
      </c>
      <c r="C475" t="s">
        <v>91</v>
      </c>
      <c r="D475" t="s">
        <v>20</v>
      </c>
      <c r="E475" s="13">
        <v>45444</v>
      </c>
      <c r="F475">
        <v>0</v>
      </c>
      <c r="G475" t="s">
        <v>146</v>
      </c>
    </row>
    <row r="476" spans="1:7" x14ac:dyDescent="0.3">
      <c r="A476">
        <v>2616100000</v>
      </c>
      <c r="B476" t="s">
        <v>46</v>
      </c>
      <c r="C476" t="s">
        <v>91</v>
      </c>
      <c r="D476" t="s">
        <v>20</v>
      </c>
      <c r="E476" s="13">
        <v>45474</v>
      </c>
      <c r="F476">
        <v>0</v>
      </c>
      <c r="G476" t="s">
        <v>146</v>
      </c>
    </row>
    <row r="477" spans="1:7" x14ac:dyDescent="0.3">
      <c r="A477">
        <v>2616100000</v>
      </c>
      <c r="B477" t="s">
        <v>46</v>
      </c>
      <c r="C477" t="s">
        <v>91</v>
      </c>
      <c r="D477" t="s">
        <v>20</v>
      </c>
      <c r="E477" s="13">
        <v>45505</v>
      </c>
      <c r="F477">
        <v>0</v>
      </c>
      <c r="G477" t="s">
        <v>146</v>
      </c>
    </row>
    <row r="478" spans="1:7" x14ac:dyDescent="0.3">
      <c r="A478">
        <v>2616100000</v>
      </c>
      <c r="B478" t="s">
        <v>46</v>
      </c>
      <c r="C478" t="s">
        <v>91</v>
      </c>
      <c r="D478" t="s">
        <v>20</v>
      </c>
      <c r="E478" s="13">
        <v>45536</v>
      </c>
      <c r="F478">
        <v>0</v>
      </c>
      <c r="G478" t="s">
        <v>146</v>
      </c>
    </row>
    <row r="479" spans="1:7" x14ac:dyDescent="0.3">
      <c r="A479">
        <v>2616100000</v>
      </c>
      <c r="B479" t="s">
        <v>46</v>
      </c>
      <c r="C479" t="s">
        <v>91</v>
      </c>
      <c r="D479" t="s">
        <v>20</v>
      </c>
      <c r="E479" s="13">
        <v>45566</v>
      </c>
      <c r="F479">
        <v>0</v>
      </c>
      <c r="G479" t="s">
        <v>146</v>
      </c>
    </row>
    <row r="480" spans="1:7" x14ac:dyDescent="0.3">
      <c r="A480">
        <v>2616100000</v>
      </c>
      <c r="B480" t="s">
        <v>46</v>
      </c>
      <c r="C480" t="s">
        <v>91</v>
      </c>
      <c r="D480" t="s">
        <v>20</v>
      </c>
      <c r="E480" s="13">
        <v>45597</v>
      </c>
      <c r="F480">
        <v>0</v>
      </c>
      <c r="G480" t="s">
        <v>146</v>
      </c>
    </row>
    <row r="481" spans="1:7" x14ac:dyDescent="0.3">
      <c r="A481">
        <v>2616100000</v>
      </c>
      <c r="B481" t="s">
        <v>46</v>
      </c>
      <c r="C481" t="s">
        <v>91</v>
      </c>
      <c r="D481" t="s">
        <v>20</v>
      </c>
      <c r="E481" s="13">
        <v>45627</v>
      </c>
      <c r="F481">
        <v>0</v>
      </c>
      <c r="G481" t="s">
        <v>146</v>
      </c>
    </row>
    <row r="482" spans="1:7" x14ac:dyDescent="0.3">
      <c r="A482">
        <v>2616100000</v>
      </c>
      <c r="B482" t="s">
        <v>46</v>
      </c>
      <c r="C482" t="s">
        <v>91</v>
      </c>
      <c r="D482" t="s">
        <v>20</v>
      </c>
      <c r="E482" s="13">
        <v>45658</v>
      </c>
      <c r="F482">
        <v>0</v>
      </c>
      <c r="G482" t="s">
        <v>146</v>
      </c>
    </row>
    <row r="483" spans="1:7" x14ac:dyDescent="0.3">
      <c r="A483">
        <v>2616100000</v>
      </c>
      <c r="B483" t="s">
        <v>46</v>
      </c>
      <c r="C483" t="s">
        <v>91</v>
      </c>
      <c r="D483" t="s">
        <v>20</v>
      </c>
      <c r="E483" s="13">
        <v>45689</v>
      </c>
      <c r="F483">
        <v>0</v>
      </c>
      <c r="G483" t="s">
        <v>146</v>
      </c>
    </row>
    <row r="484" spans="1:7" x14ac:dyDescent="0.3">
      <c r="A484">
        <v>2616100000</v>
      </c>
      <c r="B484" t="s">
        <v>46</v>
      </c>
      <c r="C484" t="s">
        <v>91</v>
      </c>
      <c r="D484" t="s">
        <v>20</v>
      </c>
      <c r="E484" s="13">
        <v>45717</v>
      </c>
      <c r="F484">
        <v>0</v>
      </c>
      <c r="G484" t="s">
        <v>146</v>
      </c>
    </row>
    <row r="485" spans="1:7" x14ac:dyDescent="0.3">
      <c r="A485">
        <v>2616100000</v>
      </c>
      <c r="B485" t="s">
        <v>46</v>
      </c>
      <c r="C485" t="s">
        <v>91</v>
      </c>
      <c r="D485" t="s">
        <v>20</v>
      </c>
      <c r="E485" s="13">
        <v>45748</v>
      </c>
      <c r="F485">
        <v>0</v>
      </c>
      <c r="G485" t="s">
        <v>146</v>
      </c>
    </row>
    <row r="486" spans="1:7" x14ac:dyDescent="0.3">
      <c r="A486">
        <v>2616100000</v>
      </c>
      <c r="B486" t="s">
        <v>46</v>
      </c>
      <c r="C486" t="s">
        <v>91</v>
      </c>
      <c r="D486" t="s">
        <v>20</v>
      </c>
      <c r="E486" s="13">
        <v>45778</v>
      </c>
      <c r="F486">
        <v>0</v>
      </c>
      <c r="G486" t="s">
        <v>146</v>
      </c>
    </row>
    <row r="487" spans="1:7" x14ac:dyDescent="0.3">
      <c r="A487">
        <v>2616100000</v>
      </c>
      <c r="B487" t="s">
        <v>46</v>
      </c>
      <c r="C487" t="s">
        <v>91</v>
      </c>
      <c r="D487" t="s">
        <v>20</v>
      </c>
      <c r="E487" s="13">
        <v>45809</v>
      </c>
      <c r="F487">
        <v>0</v>
      </c>
      <c r="G487" t="s">
        <v>146</v>
      </c>
    </row>
    <row r="488" spans="1:7" x14ac:dyDescent="0.3">
      <c r="A488">
        <v>2003100005</v>
      </c>
      <c r="B488" t="s">
        <v>37</v>
      </c>
      <c r="C488" t="s">
        <v>87</v>
      </c>
      <c r="E488" s="13">
        <v>45292</v>
      </c>
      <c r="F488">
        <v>0</v>
      </c>
      <c r="G488" t="s">
        <v>120</v>
      </c>
    </row>
    <row r="489" spans="1:7" x14ac:dyDescent="0.3">
      <c r="A489">
        <v>2003100005</v>
      </c>
      <c r="B489" t="s">
        <v>37</v>
      </c>
      <c r="C489" t="s">
        <v>87</v>
      </c>
      <c r="E489" s="13">
        <v>45323</v>
      </c>
      <c r="F489">
        <v>0</v>
      </c>
      <c r="G489" t="s">
        <v>120</v>
      </c>
    </row>
    <row r="490" spans="1:7" x14ac:dyDescent="0.3">
      <c r="A490">
        <v>2003100005</v>
      </c>
      <c r="B490" t="s">
        <v>37</v>
      </c>
      <c r="C490" t="s">
        <v>87</v>
      </c>
      <c r="E490" s="13">
        <v>45352</v>
      </c>
      <c r="F490">
        <v>0</v>
      </c>
      <c r="G490" t="s">
        <v>120</v>
      </c>
    </row>
    <row r="491" spans="1:7" x14ac:dyDescent="0.3">
      <c r="A491">
        <v>2003100005</v>
      </c>
      <c r="B491" t="s">
        <v>37</v>
      </c>
      <c r="C491" t="s">
        <v>87</v>
      </c>
      <c r="E491" s="13">
        <v>45383</v>
      </c>
      <c r="F491">
        <v>0</v>
      </c>
      <c r="G491" t="s">
        <v>120</v>
      </c>
    </row>
    <row r="492" spans="1:7" x14ac:dyDescent="0.3">
      <c r="A492">
        <v>2003100005</v>
      </c>
      <c r="B492" t="s">
        <v>37</v>
      </c>
      <c r="C492" t="s">
        <v>87</v>
      </c>
      <c r="E492" s="13">
        <v>45413</v>
      </c>
      <c r="F492">
        <v>0</v>
      </c>
      <c r="G492" t="s">
        <v>120</v>
      </c>
    </row>
    <row r="493" spans="1:7" x14ac:dyDescent="0.3">
      <c r="A493">
        <v>2003100005</v>
      </c>
      <c r="B493" t="s">
        <v>37</v>
      </c>
      <c r="C493" t="s">
        <v>87</v>
      </c>
      <c r="E493" s="13">
        <v>45444</v>
      </c>
      <c r="F493">
        <v>0</v>
      </c>
      <c r="G493" t="s">
        <v>120</v>
      </c>
    </row>
    <row r="494" spans="1:7" x14ac:dyDescent="0.3">
      <c r="A494">
        <v>2003100005</v>
      </c>
      <c r="B494" t="s">
        <v>37</v>
      </c>
      <c r="C494" t="s">
        <v>87</v>
      </c>
      <c r="E494" s="13">
        <v>45474</v>
      </c>
      <c r="F494">
        <v>0</v>
      </c>
      <c r="G494" t="s">
        <v>120</v>
      </c>
    </row>
    <row r="495" spans="1:7" x14ac:dyDescent="0.3">
      <c r="A495">
        <v>2003100005</v>
      </c>
      <c r="B495" t="s">
        <v>37</v>
      </c>
      <c r="C495" t="s">
        <v>87</v>
      </c>
      <c r="E495" s="13">
        <v>45505</v>
      </c>
      <c r="F495">
        <v>0</v>
      </c>
      <c r="G495" t="s">
        <v>120</v>
      </c>
    </row>
    <row r="496" spans="1:7" x14ac:dyDescent="0.3">
      <c r="A496">
        <v>2003100005</v>
      </c>
      <c r="B496" t="s">
        <v>37</v>
      </c>
      <c r="C496" t="s">
        <v>87</v>
      </c>
      <c r="E496" s="13">
        <v>45536</v>
      </c>
      <c r="F496">
        <v>0</v>
      </c>
      <c r="G496" t="s">
        <v>120</v>
      </c>
    </row>
    <row r="497" spans="1:7" x14ac:dyDescent="0.3">
      <c r="A497">
        <v>2003100005</v>
      </c>
      <c r="B497" t="s">
        <v>37</v>
      </c>
      <c r="C497" t="s">
        <v>87</v>
      </c>
      <c r="E497" s="13">
        <v>45566</v>
      </c>
      <c r="F497">
        <v>0</v>
      </c>
      <c r="G497" t="s">
        <v>120</v>
      </c>
    </row>
    <row r="498" spans="1:7" x14ac:dyDescent="0.3">
      <c r="A498">
        <v>2003100005</v>
      </c>
      <c r="B498" t="s">
        <v>37</v>
      </c>
      <c r="C498" t="s">
        <v>87</v>
      </c>
      <c r="E498" s="13">
        <v>45597</v>
      </c>
      <c r="F498">
        <v>0</v>
      </c>
      <c r="G498" t="s">
        <v>120</v>
      </c>
    </row>
    <row r="499" spans="1:7" x14ac:dyDescent="0.3">
      <c r="A499">
        <v>2003100005</v>
      </c>
      <c r="B499" t="s">
        <v>37</v>
      </c>
      <c r="C499" t="s">
        <v>87</v>
      </c>
      <c r="E499" s="13">
        <v>45627</v>
      </c>
      <c r="F499">
        <v>0</v>
      </c>
      <c r="G499" t="s">
        <v>120</v>
      </c>
    </row>
    <row r="500" spans="1:7" x14ac:dyDescent="0.3">
      <c r="A500">
        <v>2003100005</v>
      </c>
      <c r="B500" t="s">
        <v>37</v>
      </c>
      <c r="C500" t="s">
        <v>87</v>
      </c>
      <c r="E500" s="13">
        <v>45658</v>
      </c>
      <c r="F500">
        <v>15587141.759999998</v>
      </c>
      <c r="G500" t="s">
        <v>120</v>
      </c>
    </row>
    <row r="501" spans="1:7" x14ac:dyDescent="0.3">
      <c r="A501">
        <v>2003100005</v>
      </c>
      <c r="B501" t="s">
        <v>37</v>
      </c>
      <c r="C501" t="s">
        <v>87</v>
      </c>
      <c r="E501" s="13">
        <v>45689</v>
      </c>
      <c r="F501">
        <v>21550395.090000004</v>
      </c>
      <c r="G501" t="s">
        <v>120</v>
      </c>
    </row>
    <row r="502" spans="1:7" x14ac:dyDescent="0.3">
      <c r="A502">
        <v>2003100005</v>
      </c>
      <c r="B502" t="s">
        <v>37</v>
      </c>
      <c r="C502" t="s">
        <v>87</v>
      </c>
      <c r="E502" s="13">
        <v>45717</v>
      </c>
      <c r="F502">
        <v>25921509.449999996</v>
      </c>
      <c r="G502" t="s">
        <v>120</v>
      </c>
    </row>
    <row r="503" spans="1:7" x14ac:dyDescent="0.3">
      <c r="A503">
        <v>2003100005</v>
      </c>
      <c r="B503" t="s">
        <v>37</v>
      </c>
      <c r="C503" t="s">
        <v>87</v>
      </c>
      <c r="E503" s="13">
        <v>45748</v>
      </c>
      <c r="F503">
        <v>19150184.419999998</v>
      </c>
      <c r="G503" t="s">
        <v>120</v>
      </c>
    </row>
    <row r="504" spans="1:7" x14ac:dyDescent="0.3">
      <c r="A504">
        <v>2003100005</v>
      </c>
      <c r="B504" t="s">
        <v>37</v>
      </c>
      <c r="C504" t="s">
        <v>87</v>
      </c>
      <c r="E504" s="13">
        <v>45778</v>
      </c>
      <c r="F504">
        <v>20358143.84</v>
      </c>
      <c r="G504" t="s">
        <v>120</v>
      </c>
    </row>
    <row r="505" spans="1:7" x14ac:dyDescent="0.3">
      <c r="A505">
        <v>2003100005</v>
      </c>
      <c r="B505" t="s">
        <v>37</v>
      </c>
      <c r="C505" t="s">
        <v>87</v>
      </c>
      <c r="E505" s="13">
        <v>45809</v>
      </c>
      <c r="F505">
        <v>18521907.539999999</v>
      </c>
      <c r="G505" t="s">
        <v>120</v>
      </c>
    </row>
    <row r="506" spans="1:7" x14ac:dyDescent="0.3">
      <c r="A506">
        <v>2003100006</v>
      </c>
      <c r="B506" t="s">
        <v>38</v>
      </c>
      <c r="C506" t="s">
        <v>87</v>
      </c>
      <c r="E506" s="13">
        <v>45292</v>
      </c>
      <c r="F506">
        <v>0</v>
      </c>
      <c r="G506" t="s">
        <v>121</v>
      </c>
    </row>
    <row r="507" spans="1:7" x14ac:dyDescent="0.3">
      <c r="A507">
        <v>2003100006</v>
      </c>
      <c r="B507" t="s">
        <v>38</v>
      </c>
      <c r="C507" t="s">
        <v>87</v>
      </c>
      <c r="E507" s="13">
        <v>45323</v>
      </c>
      <c r="F507">
        <v>0</v>
      </c>
      <c r="G507" t="s">
        <v>121</v>
      </c>
    </row>
    <row r="508" spans="1:7" x14ac:dyDescent="0.3">
      <c r="A508">
        <v>2003100006</v>
      </c>
      <c r="B508" t="s">
        <v>38</v>
      </c>
      <c r="C508" t="s">
        <v>87</v>
      </c>
      <c r="E508" s="13">
        <v>45352</v>
      </c>
      <c r="F508">
        <v>0</v>
      </c>
      <c r="G508" t="s">
        <v>121</v>
      </c>
    </row>
    <row r="509" spans="1:7" x14ac:dyDescent="0.3">
      <c r="A509">
        <v>2003100006</v>
      </c>
      <c r="B509" t="s">
        <v>38</v>
      </c>
      <c r="C509" t="s">
        <v>87</v>
      </c>
      <c r="E509" s="13">
        <v>45383</v>
      </c>
      <c r="F509">
        <v>0</v>
      </c>
      <c r="G509" t="s">
        <v>121</v>
      </c>
    </row>
    <row r="510" spans="1:7" x14ac:dyDescent="0.3">
      <c r="A510">
        <v>2003100006</v>
      </c>
      <c r="B510" t="s">
        <v>38</v>
      </c>
      <c r="C510" t="s">
        <v>87</v>
      </c>
      <c r="E510" s="13">
        <v>45413</v>
      </c>
      <c r="F510">
        <v>0</v>
      </c>
      <c r="G510" t="s">
        <v>121</v>
      </c>
    </row>
    <row r="511" spans="1:7" x14ac:dyDescent="0.3">
      <c r="A511">
        <v>2003100006</v>
      </c>
      <c r="B511" t="s">
        <v>38</v>
      </c>
      <c r="C511" t="s">
        <v>87</v>
      </c>
      <c r="E511" s="13">
        <v>45444</v>
      </c>
      <c r="F511">
        <v>0</v>
      </c>
      <c r="G511" t="s">
        <v>121</v>
      </c>
    </row>
    <row r="512" spans="1:7" x14ac:dyDescent="0.3">
      <c r="A512">
        <v>2003100006</v>
      </c>
      <c r="B512" t="s">
        <v>38</v>
      </c>
      <c r="C512" t="s">
        <v>87</v>
      </c>
      <c r="E512" s="13">
        <v>45474</v>
      </c>
      <c r="F512">
        <v>0</v>
      </c>
      <c r="G512" t="s">
        <v>121</v>
      </c>
    </row>
    <row r="513" spans="1:7" x14ac:dyDescent="0.3">
      <c r="A513">
        <v>2003100006</v>
      </c>
      <c r="B513" t="s">
        <v>38</v>
      </c>
      <c r="C513" t="s">
        <v>87</v>
      </c>
      <c r="E513" s="13">
        <v>45505</v>
      </c>
      <c r="F513">
        <v>0</v>
      </c>
      <c r="G513" t="s">
        <v>121</v>
      </c>
    </row>
    <row r="514" spans="1:7" x14ac:dyDescent="0.3">
      <c r="A514">
        <v>2003100006</v>
      </c>
      <c r="B514" t="s">
        <v>38</v>
      </c>
      <c r="C514" t="s">
        <v>87</v>
      </c>
      <c r="E514" s="13">
        <v>45536</v>
      </c>
      <c r="F514">
        <v>0</v>
      </c>
      <c r="G514" t="s">
        <v>121</v>
      </c>
    </row>
    <row r="515" spans="1:7" x14ac:dyDescent="0.3">
      <c r="A515">
        <v>2003100006</v>
      </c>
      <c r="B515" t="s">
        <v>38</v>
      </c>
      <c r="C515" t="s">
        <v>87</v>
      </c>
      <c r="E515" s="13">
        <v>45566</v>
      </c>
      <c r="F515">
        <v>0</v>
      </c>
      <c r="G515" t="s">
        <v>121</v>
      </c>
    </row>
    <row r="516" spans="1:7" x14ac:dyDescent="0.3">
      <c r="A516">
        <v>2003100006</v>
      </c>
      <c r="B516" t="s">
        <v>38</v>
      </c>
      <c r="C516" t="s">
        <v>87</v>
      </c>
      <c r="E516" s="13">
        <v>45597</v>
      </c>
      <c r="F516">
        <v>0</v>
      </c>
      <c r="G516" t="s">
        <v>121</v>
      </c>
    </row>
    <row r="517" spans="1:7" x14ac:dyDescent="0.3">
      <c r="A517">
        <v>2003100006</v>
      </c>
      <c r="B517" t="s">
        <v>38</v>
      </c>
      <c r="C517" t="s">
        <v>87</v>
      </c>
      <c r="E517" s="13">
        <v>45627</v>
      </c>
      <c r="F517">
        <v>0</v>
      </c>
      <c r="G517" t="s">
        <v>121</v>
      </c>
    </row>
    <row r="518" spans="1:7" x14ac:dyDescent="0.3">
      <c r="A518">
        <v>2003100006</v>
      </c>
      <c r="B518" t="s">
        <v>38</v>
      </c>
      <c r="C518" t="s">
        <v>87</v>
      </c>
      <c r="E518" s="13">
        <v>45658</v>
      </c>
      <c r="F518">
        <v>1162130.4500000002</v>
      </c>
      <c r="G518" t="s">
        <v>121</v>
      </c>
    </row>
    <row r="519" spans="1:7" x14ac:dyDescent="0.3">
      <c r="A519">
        <v>2003100006</v>
      </c>
      <c r="B519" t="s">
        <v>38</v>
      </c>
      <c r="C519" t="s">
        <v>87</v>
      </c>
      <c r="E519" s="13">
        <v>45689</v>
      </c>
      <c r="F519">
        <v>1375683.25</v>
      </c>
      <c r="G519" t="s">
        <v>121</v>
      </c>
    </row>
    <row r="520" spans="1:7" x14ac:dyDescent="0.3">
      <c r="A520">
        <v>2003100006</v>
      </c>
      <c r="B520" t="s">
        <v>38</v>
      </c>
      <c r="C520" t="s">
        <v>87</v>
      </c>
      <c r="E520" s="13">
        <v>45717</v>
      </c>
      <c r="F520">
        <v>1741665.93</v>
      </c>
      <c r="G520" t="s">
        <v>121</v>
      </c>
    </row>
    <row r="521" spans="1:7" x14ac:dyDescent="0.3">
      <c r="A521">
        <v>2003100006</v>
      </c>
      <c r="B521" t="s">
        <v>38</v>
      </c>
      <c r="C521" t="s">
        <v>87</v>
      </c>
      <c r="E521" s="13">
        <v>45748</v>
      </c>
      <c r="F521">
        <v>1276638.8700000001</v>
      </c>
      <c r="G521" t="s">
        <v>121</v>
      </c>
    </row>
    <row r="522" spans="1:7" x14ac:dyDescent="0.3">
      <c r="A522">
        <v>2003100006</v>
      </c>
      <c r="B522" t="s">
        <v>38</v>
      </c>
      <c r="C522" t="s">
        <v>87</v>
      </c>
      <c r="E522" s="13">
        <v>45778</v>
      </c>
      <c r="F522">
        <v>1297552.5299999998</v>
      </c>
      <c r="G522" t="s">
        <v>121</v>
      </c>
    </row>
    <row r="523" spans="1:7" x14ac:dyDescent="0.3">
      <c r="A523">
        <v>2003100006</v>
      </c>
      <c r="B523" t="s">
        <v>38</v>
      </c>
      <c r="C523" t="s">
        <v>87</v>
      </c>
      <c r="E523" s="13">
        <v>45809</v>
      </c>
      <c r="F523">
        <v>1173863.2000000002</v>
      </c>
      <c r="G523" t="s">
        <v>121</v>
      </c>
    </row>
    <row r="524" spans="1:7" x14ac:dyDescent="0.3">
      <c r="A524">
        <v>2003100007</v>
      </c>
      <c r="B524" t="s">
        <v>39</v>
      </c>
      <c r="C524" t="s">
        <v>87</v>
      </c>
      <c r="E524" s="13">
        <v>45292</v>
      </c>
      <c r="F524">
        <v>0</v>
      </c>
      <c r="G524" t="s">
        <v>122</v>
      </c>
    </row>
    <row r="525" spans="1:7" x14ac:dyDescent="0.3">
      <c r="A525">
        <v>2003100007</v>
      </c>
      <c r="B525" t="s">
        <v>39</v>
      </c>
      <c r="C525" t="s">
        <v>87</v>
      </c>
      <c r="E525" s="13">
        <v>45323</v>
      </c>
      <c r="F525">
        <v>0</v>
      </c>
      <c r="G525" t="s">
        <v>122</v>
      </c>
    </row>
    <row r="526" spans="1:7" x14ac:dyDescent="0.3">
      <c r="A526">
        <v>2003100007</v>
      </c>
      <c r="B526" t="s">
        <v>39</v>
      </c>
      <c r="C526" t="s">
        <v>87</v>
      </c>
      <c r="E526" s="13">
        <v>45352</v>
      </c>
      <c r="F526">
        <v>0</v>
      </c>
      <c r="G526" t="s">
        <v>122</v>
      </c>
    </row>
    <row r="527" spans="1:7" x14ac:dyDescent="0.3">
      <c r="A527">
        <v>2003100007</v>
      </c>
      <c r="B527" t="s">
        <v>39</v>
      </c>
      <c r="C527" t="s">
        <v>87</v>
      </c>
      <c r="E527" s="13">
        <v>45383</v>
      </c>
      <c r="F527">
        <v>0</v>
      </c>
      <c r="G527" t="s">
        <v>122</v>
      </c>
    </row>
    <row r="528" spans="1:7" x14ac:dyDescent="0.3">
      <c r="A528">
        <v>2003100007</v>
      </c>
      <c r="B528" t="s">
        <v>39</v>
      </c>
      <c r="C528" t="s">
        <v>87</v>
      </c>
      <c r="E528" s="13">
        <v>45413</v>
      </c>
      <c r="F528">
        <v>0</v>
      </c>
      <c r="G528" t="s">
        <v>122</v>
      </c>
    </row>
    <row r="529" spans="1:7" x14ac:dyDescent="0.3">
      <c r="A529">
        <v>2003100007</v>
      </c>
      <c r="B529" t="s">
        <v>39</v>
      </c>
      <c r="C529" t="s">
        <v>87</v>
      </c>
      <c r="E529" s="13">
        <v>45444</v>
      </c>
      <c r="F529">
        <v>0</v>
      </c>
      <c r="G529" t="s">
        <v>122</v>
      </c>
    </row>
    <row r="530" spans="1:7" x14ac:dyDescent="0.3">
      <c r="A530">
        <v>2003100007</v>
      </c>
      <c r="B530" t="s">
        <v>39</v>
      </c>
      <c r="C530" t="s">
        <v>87</v>
      </c>
      <c r="E530" s="13">
        <v>45474</v>
      </c>
      <c r="F530">
        <v>0</v>
      </c>
      <c r="G530" t="s">
        <v>122</v>
      </c>
    </row>
    <row r="531" spans="1:7" x14ac:dyDescent="0.3">
      <c r="A531">
        <v>2003100007</v>
      </c>
      <c r="B531" t="s">
        <v>39</v>
      </c>
      <c r="C531" t="s">
        <v>87</v>
      </c>
      <c r="E531" s="13">
        <v>45505</v>
      </c>
      <c r="F531">
        <v>0</v>
      </c>
      <c r="G531" t="s">
        <v>122</v>
      </c>
    </row>
    <row r="532" spans="1:7" x14ac:dyDescent="0.3">
      <c r="A532">
        <v>2003100007</v>
      </c>
      <c r="B532" t="s">
        <v>39</v>
      </c>
      <c r="C532" t="s">
        <v>87</v>
      </c>
      <c r="E532" s="13">
        <v>45536</v>
      </c>
      <c r="F532">
        <v>0</v>
      </c>
      <c r="G532" t="s">
        <v>122</v>
      </c>
    </row>
    <row r="533" spans="1:7" x14ac:dyDescent="0.3">
      <c r="A533">
        <v>2003100007</v>
      </c>
      <c r="B533" t="s">
        <v>39</v>
      </c>
      <c r="C533" t="s">
        <v>87</v>
      </c>
      <c r="E533" s="13">
        <v>45566</v>
      </c>
      <c r="F533">
        <v>0</v>
      </c>
      <c r="G533" t="s">
        <v>122</v>
      </c>
    </row>
    <row r="534" spans="1:7" x14ac:dyDescent="0.3">
      <c r="A534">
        <v>2003100007</v>
      </c>
      <c r="B534" t="s">
        <v>39</v>
      </c>
      <c r="C534" t="s">
        <v>87</v>
      </c>
      <c r="E534" s="13">
        <v>45597</v>
      </c>
      <c r="F534">
        <v>0</v>
      </c>
      <c r="G534" t="s">
        <v>122</v>
      </c>
    </row>
    <row r="535" spans="1:7" x14ac:dyDescent="0.3">
      <c r="A535">
        <v>2003100007</v>
      </c>
      <c r="B535" t="s">
        <v>39</v>
      </c>
      <c r="C535" t="s">
        <v>87</v>
      </c>
      <c r="E535" s="13">
        <v>45627</v>
      </c>
      <c r="F535">
        <v>0</v>
      </c>
      <c r="G535" t="s">
        <v>122</v>
      </c>
    </row>
    <row r="536" spans="1:7" x14ac:dyDescent="0.3">
      <c r="A536">
        <v>2003100007</v>
      </c>
      <c r="B536" t="s">
        <v>39</v>
      </c>
      <c r="C536" t="s">
        <v>87</v>
      </c>
      <c r="E536" s="13">
        <v>45658</v>
      </c>
      <c r="F536">
        <v>1520904.79</v>
      </c>
      <c r="G536" t="s">
        <v>122</v>
      </c>
    </row>
    <row r="537" spans="1:7" x14ac:dyDescent="0.3">
      <c r="A537">
        <v>2003100007</v>
      </c>
      <c r="B537" t="s">
        <v>39</v>
      </c>
      <c r="C537" t="s">
        <v>87</v>
      </c>
      <c r="E537" s="13">
        <v>45689</v>
      </c>
      <c r="F537">
        <v>1165766.1599999999</v>
      </c>
      <c r="G537" t="s">
        <v>122</v>
      </c>
    </row>
    <row r="538" spans="1:7" x14ac:dyDescent="0.3">
      <c r="A538">
        <v>2003100007</v>
      </c>
      <c r="B538" t="s">
        <v>39</v>
      </c>
      <c r="C538" t="s">
        <v>87</v>
      </c>
      <c r="E538" s="13">
        <v>45717</v>
      </c>
      <c r="F538">
        <v>1397252.56</v>
      </c>
      <c r="G538" t="s">
        <v>122</v>
      </c>
    </row>
    <row r="539" spans="1:7" x14ac:dyDescent="0.3">
      <c r="A539">
        <v>2003100007</v>
      </c>
      <c r="B539" t="s">
        <v>39</v>
      </c>
      <c r="C539" t="s">
        <v>87</v>
      </c>
      <c r="E539" s="13">
        <v>45748</v>
      </c>
      <c r="F539">
        <v>1562865.42</v>
      </c>
      <c r="G539" t="s">
        <v>122</v>
      </c>
    </row>
    <row r="540" spans="1:7" x14ac:dyDescent="0.3">
      <c r="A540">
        <v>2003100007</v>
      </c>
      <c r="B540" t="s">
        <v>39</v>
      </c>
      <c r="C540" t="s">
        <v>87</v>
      </c>
      <c r="E540" s="13">
        <v>45778</v>
      </c>
      <c r="F540">
        <v>1748359.82</v>
      </c>
      <c r="G540" t="s">
        <v>122</v>
      </c>
    </row>
    <row r="541" spans="1:7" x14ac:dyDescent="0.3">
      <c r="A541">
        <v>2003100007</v>
      </c>
      <c r="B541" t="s">
        <v>39</v>
      </c>
      <c r="C541" t="s">
        <v>87</v>
      </c>
      <c r="E541" s="13">
        <v>45809</v>
      </c>
      <c r="F541">
        <v>1444158.71</v>
      </c>
      <c r="G541" t="s">
        <v>122</v>
      </c>
    </row>
    <row r="542" spans="1:7" x14ac:dyDescent="0.3">
      <c r="A542">
        <v>2211200001</v>
      </c>
      <c r="B542" t="s">
        <v>40</v>
      </c>
      <c r="C542" t="s">
        <v>88</v>
      </c>
      <c r="E542" s="13">
        <v>45292</v>
      </c>
      <c r="F542">
        <v>0</v>
      </c>
      <c r="G542" t="s">
        <v>123</v>
      </c>
    </row>
    <row r="543" spans="1:7" x14ac:dyDescent="0.3">
      <c r="A543">
        <v>2211200001</v>
      </c>
      <c r="B543" t="s">
        <v>40</v>
      </c>
      <c r="C543" t="s">
        <v>88</v>
      </c>
      <c r="E543" s="13">
        <v>45323</v>
      </c>
      <c r="F543">
        <v>0</v>
      </c>
      <c r="G543" t="s">
        <v>123</v>
      </c>
    </row>
    <row r="544" spans="1:7" x14ac:dyDescent="0.3">
      <c r="A544">
        <v>2211200001</v>
      </c>
      <c r="B544" t="s">
        <v>40</v>
      </c>
      <c r="C544" t="s">
        <v>88</v>
      </c>
      <c r="E544" s="13">
        <v>45352</v>
      </c>
      <c r="F544">
        <v>0</v>
      </c>
      <c r="G544" t="s">
        <v>123</v>
      </c>
    </row>
    <row r="545" spans="1:7" x14ac:dyDescent="0.3">
      <c r="A545">
        <v>2211200001</v>
      </c>
      <c r="B545" t="s">
        <v>40</v>
      </c>
      <c r="C545" t="s">
        <v>88</v>
      </c>
      <c r="E545" s="13">
        <v>45383</v>
      </c>
      <c r="F545">
        <v>0</v>
      </c>
      <c r="G545" t="s">
        <v>123</v>
      </c>
    </row>
    <row r="546" spans="1:7" x14ac:dyDescent="0.3">
      <c r="A546">
        <v>2211200001</v>
      </c>
      <c r="B546" t="s">
        <v>40</v>
      </c>
      <c r="C546" t="s">
        <v>88</v>
      </c>
      <c r="E546" s="13">
        <v>45413</v>
      </c>
      <c r="F546">
        <v>0</v>
      </c>
      <c r="G546" t="s">
        <v>123</v>
      </c>
    </row>
    <row r="547" spans="1:7" x14ac:dyDescent="0.3">
      <c r="A547">
        <v>2211200001</v>
      </c>
      <c r="B547" t="s">
        <v>40</v>
      </c>
      <c r="C547" t="s">
        <v>88</v>
      </c>
      <c r="E547" s="13">
        <v>45444</v>
      </c>
      <c r="F547">
        <v>0</v>
      </c>
      <c r="G547" t="s">
        <v>123</v>
      </c>
    </row>
    <row r="548" spans="1:7" x14ac:dyDescent="0.3">
      <c r="A548">
        <v>2211200001</v>
      </c>
      <c r="B548" t="s">
        <v>40</v>
      </c>
      <c r="C548" t="s">
        <v>88</v>
      </c>
      <c r="E548" s="13">
        <v>45474</v>
      </c>
      <c r="F548">
        <v>0</v>
      </c>
      <c r="G548" t="s">
        <v>123</v>
      </c>
    </row>
    <row r="549" spans="1:7" x14ac:dyDescent="0.3">
      <c r="A549">
        <v>2211200001</v>
      </c>
      <c r="B549" t="s">
        <v>40</v>
      </c>
      <c r="C549" t="s">
        <v>88</v>
      </c>
      <c r="E549" s="13">
        <v>45505</v>
      </c>
      <c r="F549">
        <v>0</v>
      </c>
      <c r="G549" t="s">
        <v>123</v>
      </c>
    </row>
    <row r="550" spans="1:7" x14ac:dyDescent="0.3">
      <c r="A550">
        <v>2211200001</v>
      </c>
      <c r="B550" t="s">
        <v>40</v>
      </c>
      <c r="C550" t="s">
        <v>88</v>
      </c>
      <c r="E550" s="13">
        <v>45536</v>
      </c>
      <c r="F550">
        <v>0</v>
      </c>
      <c r="G550" t="s">
        <v>123</v>
      </c>
    </row>
    <row r="551" spans="1:7" x14ac:dyDescent="0.3">
      <c r="A551">
        <v>2211200001</v>
      </c>
      <c r="B551" t="s">
        <v>40</v>
      </c>
      <c r="C551" t="s">
        <v>88</v>
      </c>
      <c r="E551" s="13">
        <v>45566</v>
      </c>
      <c r="F551">
        <v>0</v>
      </c>
      <c r="G551" t="s">
        <v>123</v>
      </c>
    </row>
    <row r="552" spans="1:7" x14ac:dyDescent="0.3">
      <c r="A552">
        <v>2211200001</v>
      </c>
      <c r="B552" t="s">
        <v>40</v>
      </c>
      <c r="C552" t="s">
        <v>88</v>
      </c>
      <c r="E552" s="13">
        <v>45597</v>
      </c>
      <c r="F552">
        <v>0</v>
      </c>
      <c r="G552" t="s">
        <v>123</v>
      </c>
    </row>
    <row r="553" spans="1:7" x14ac:dyDescent="0.3">
      <c r="A553">
        <v>2211200001</v>
      </c>
      <c r="B553" t="s">
        <v>40</v>
      </c>
      <c r="C553" t="s">
        <v>88</v>
      </c>
      <c r="E553" s="13">
        <v>45627</v>
      </c>
      <c r="F553">
        <v>0</v>
      </c>
      <c r="G553" t="s">
        <v>123</v>
      </c>
    </row>
    <row r="554" spans="1:7" x14ac:dyDescent="0.3">
      <c r="A554">
        <v>2211200001</v>
      </c>
      <c r="B554" t="s">
        <v>40</v>
      </c>
      <c r="C554" t="s">
        <v>88</v>
      </c>
      <c r="E554" s="13">
        <v>45658</v>
      </c>
      <c r="F554">
        <v>9511517.2004292104</v>
      </c>
      <c r="G554" t="s">
        <v>123</v>
      </c>
    </row>
    <row r="555" spans="1:7" x14ac:dyDescent="0.3">
      <c r="A555">
        <v>2211200001</v>
      </c>
      <c r="B555" t="s">
        <v>40</v>
      </c>
      <c r="C555" t="s">
        <v>88</v>
      </c>
      <c r="E555" s="13">
        <v>45689</v>
      </c>
      <c r="F555">
        <v>13135651.094679</v>
      </c>
      <c r="G555" t="s">
        <v>123</v>
      </c>
    </row>
    <row r="556" spans="1:7" x14ac:dyDescent="0.3">
      <c r="A556">
        <v>2211200001</v>
      </c>
      <c r="B556" t="s">
        <v>40</v>
      </c>
      <c r="C556" t="s">
        <v>88</v>
      </c>
      <c r="E556" s="13">
        <v>45717</v>
      </c>
      <c r="F556">
        <v>15677777.3821669</v>
      </c>
      <c r="G556" t="s">
        <v>123</v>
      </c>
    </row>
    <row r="557" spans="1:7" x14ac:dyDescent="0.3">
      <c r="A557">
        <v>2211200001</v>
      </c>
      <c r="B557" t="s">
        <v>40</v>
      </c>
      <c r="C557" t="s">
        <v>88</v>
      </c>
      <c r="E557" s="13">
        <v>45748</v>
      </c>
      <c r="F557">
        <v>11529761.1035049</v>
      </c>
      <c r="G557" t="s">
        <v>123</v>
      </c>
    </row>
    <row r="558" spans="1:7" x14ac:dyDescent="0.3">
      <c r="A558">
        <v>2211200001</v>
      </c>
      <c r="B558" t="s">
        <v>40</v>
      </c>
      <c r="C558" t="s">
        <v>88</v>
      </c>
      <c r="E558" s="13">
        <v>45778</v>
      </c>
      <c r="F558">
        <v>12207980.403199</v>
      </c>
      <c r="G558" t="s">
        <v>123</v>
      </c>
    </row>
    <row r="559" spans="1:7" x14ac:dyDescent="0.3">
      <c r="A559">
        <v>2211200001</v>
      </c>
      <c r="B559" t="s">
        <v>40</v>
      </c>
      <c r="C559" t="s">
        <v>88</v>
      </c>
      <c r="E559" s="13">
        <v>45809</v>
      </c>
      <c r="F559">
        <v>11216653.5129917</v>
      </c>
      <c r="G559" t="s">
        <v>123</v>
      </c>
    </row>
    <row r="560" spans="1:7" x14ac:dyDescent="0.3">
      <c r="A560">
        <v>2211200002</v>
      </c>
      <c r="B560" t="s">
        <v>41</v>
      </c>
      <c r="C560" t="s">
        <v>88</v>
      </c>
      <c r="E560" s="13">
        <v>45292</v>
      </c>
      <c r="F560">
        <v>0</v>
      </c>
      <c r="G560" t="s">
        <v>124</v>
      </c>
    </row>
    <row r="561" spans="1:7" x14ac:dyDescent="0.3">
      <c r="A561">
        <v>2211200002</v>
      </c>
      <c r="B561" t="s">
        <v>41</v>
      </c>
      <c r="C561" t="s">
        <v>88</v>
      </c>
      <c r="E561" s="13">
        <v>45323</v>
      </c>
      <c r="F561">
        <v>0</v>
      </c>
      <c r="G561" t="s">
        <v>124</v>
      </c>
    </row>
    <row r="562" spans="1:7" x14ac:dyDescent="0.3">
      <c r="A562">
        <v>2211200002</v>
      </c>
      <c r="B562" t="s">
        <v>41</v>
      </c>
      <c r="C562" t="s">
        <v>88</v>
      </c>
      <c r="E562" s="13">
        <v>45352</v>
      </c>
      <c r="F562">
        <v>0</v>
      </c>
      <c r="G562" t="s">
        <v>124</v>
      </c>
    </row>
    <row r="563" spans="1:7" x14ac:dyDescent="0.3">
      <c r="A563">
        <v>2211200002</v>
      </c>
      <c r="B563" t="s">
        <v>41</v>
      </c>
      <c r="C563" t="s">
        <v>88</v>
      </c>
      <c r="E563" s="13">
        <v>45383</v>
      </c>
      <c r="F563">
        <v>0</v>
      </c>
      <c r="G563" t="s">
        <v>124</v>
      </c>
    </row>
    <row r="564" spans="1:7" x14ac:dyDescent="0.3">
      <c r="A564">
        <v>2211200002</v>
      </c>
      <c r="B564" t="s">
        <v>41</v>
      </c>
      <c r="C564" t="s">
        <v>88</v>
      </c>
      <c r="E564" s="13">
        <v>45413</v>
      </c>
      <c r="F564">
        <v>0</v>
      </c>
      <c r="G564" t="s">
        <v>124</v>
      </c>
    </row>
    <row r="565" spans="1:7" x14ac:dyDescent="0.3">
      <c r="A565">
        <v>2211200002</v>
      </c>
      <c r="B565" t="s">
        <v>41</v>
      </c>
      <c r="C565" t="s">
        <v>88</v>
      </c>
      <c r="E565" s="13">
        <v>45444</v>
      </c>
      <c r="F565">
        <v>0</v>
      </c>
      <c r="G565" t="s">
        <v>124</v>
      </c>
    </row>
    <row r="566" spans="1:7" x14ac:dyDescent="0.3">
      <c r="A566">
        <v>2211200002</v>
      </c>
      <c r="B566" t="s">
        <v>41</v>
      </c>
      <c r="C566" t="s">
        <v>88</v>
      </c>
      <c r="E566" s="13">
        <v>45474</v>
      </c>
      <c r="F566">
        <v>0</v>
      </c>
      <c r="G566" t="s">
        <v>124</v>
      </c>
    </row>
    <row r="567" spans="1:7" x14ac:dyDescent="0.3">
      <c r="A567">
        <v>2211200002</v>
      </c>
      <c r="B567" t="s">
        <v>41</v>
      </c>
      <c r="C567" t="s">
        <v>88</v>
      </c>
      <c r="E567" s="13">
        <v>45505</v>
      </c>
      <c r="F567">
        <v>0</v>
      </c>
      <c r="G567" t="s">
        <v>124</v>
      </c>
    </row>
    <row r="568" spans="1:7" x14ac:dyDescent="0.3">
      <c r="A568">
        <v>2211200002</v>
      </c>
      <c r="B568" t="s">
        <v>41</v>
      </c>
      <c r="C568" t="s">
        <v>88</v>
      </c>
      <c r="E568" s="13">
        <v>45536</v>
      </c>
      <c r="F568">
        <v>0</v>
      </c>
      <c r="G568" t="s">
        <v>124</v>
      </c>
    </row>
    <row r="569" spans="1:7" x14ac:dyDescent="0.3">
      <c r="A569">
        <v>2211200002</v>
      </c>
      <c r="B569" t="s">
        <v>41</v>
      </c>
      <c r="C569" t="s">
        <v>88</v>
      </c>
      <c r="E569" s="13">
        <v>45566</v>
      </c>
      <c r="F569">
        <v>0</v>
      </c>
      <c r="G569" t="s">
        <v>124</v>
      </c>
    </row>
    <row r="570" spans="1:7" x14ac:dyDescent="0.3">
      <c r="A570">
        <v>2211200002</v>
      </c>
      <c r="B570" t="s">
        <v>41</v>
      </c>
      <c r="C570" t="s">
        <v>88</v>
      </c>
      <c r="E570" s="13">
        <v>45597</v>
      </c>
      <c r="F570">
        <v>0</v>
      </c>
      <c r="G570" t="s">
        <v>124</v>
      </c>
    </row>
    <row r="571" spans="1:7" x14ac:dyDescent="0.3">
      <c r="A571">
        <v>2211200002</v>
      </c>
      <c r="B571" t="s">
        <v>41</v>
      </c>
      <c r="C571" t="s">
        <v>88</v>
      </c>
      <c r="E571" s="13">
        <v>45627</v>
      </c>
      <c r="F571">
        <v>0</v>
      </c>
      <c r="G571" t="s">
        <v>124</v>
      </c>
    </row>
    <row r="572" spans="1:7" x14ac:dyDescent="0.3">
      <c r="A572">
        <v>2211200002</v>
      </c>
      <c r="B572" t="s">
        <v>41</v>
      </c>
      <c r="C572" t="s">
        <v>88</v>
      </c>
      <c r="E572" s="13">
        <v>45658</v>
      </c>
      <c r="F572">
        <v>729894.78932666394</v>
      </c>
      <c r="G572" t="s">
        <v>124</v>
      </c>
    </row>
    <row r="573" spans="1:7" x14ac:dyDescent="0.3">
      <c r="A573">
        <v>2211200002</v>
      </c>
      <c r="B573" t="s">
        <v>41</v>
      </c>
      <c r="C573" t="s">
        <v>88</v>
      </c>
      <c r="E573" s="13">
        <v>45689</v>
      </c>
      <c r="F573">
        <v>860147.62850186101</v>
      </c>
      <c r="G573" t="s">
        <v>124</v>
      </c>
    </row>
    <row r="574" spans="1:7" x14ac:dyDescent="0.3">
      <c r="A574">
        <v>2211200002</v>
      </c>
      <c r="B574" t="s">
        <v>41</v>
      </c>
      <c r="C574" t="s">
        <v>88</v>
      </c>
      <c r="E574" s="13">
        <v>45717</v>
      </c>
      <c r="F574">
        <v>1085322.40783762</v>
      </c>
      <c r="G574" t="s">
        <v>124</v>
      </c>
    </row>
    <row r="575" spans="1:7" x14ac:dyDescent="0.3">
      <c r="A575">
        <v>2211200002</v>
      </c>
      <c r="B575" t="s">
        <v>41</v>
      </c>
      <c r="C575" t="s">
        <v>88</v>
      </c>
      <c r="E575" s="13">
        <v>45748</v>
      </c>
      <c r="F575">
        <v>790838.16351295903</v>
      </c>
      <c r="G575" t="s">
        <v>124</v>
      </c>
    </row>
    <row r="576" spans="1:7" x14ac:dyDescent="0.3">
      <c r="A576">
        <v>2211200002</v>
      </c>
      <c r="B576" t="s">
        <v>41</v>
      </c>
      <c r="C576" t="s">
        <v>88</v>
      </c>
      <c r="E576" s="13">
        <v>45778</v>
      </c>
      <c r="F576">
        <v>806592.59209118702</v>
      </c>
      <c r="G576" t="s">
        <v>124</v>
      </c>
    </row>
    <row r="577" spans="1:7" x14ac:dyDescent="0.3">
      <c r="A577">
        <v>2211200002</v>
      </c>
      <c r="B577" t="s">
        <v>41</v>
      </c>
      <c r="C577" t="s">
        <v>88</v>
      </c>
      <c r="E577" s="13">
        <v>45809</v>
      </c>
      <c r="F577">
        <v>734792.92918374401</v>
      </c>
      <c r="G577" t="s">
        <v>124</v>
      </c>
    </row>
    <row r="578" spans="1:7" x14ac:dyDescent="0.3">
      <c r="A578">
        <v>2211200003</v>
      </c>
      <c r="B578" t="s">
        <v>42</v>
      </c>
      <c r="C578" t="s">
        <v>88</v>
      </c>
      <c r="E578" s="13">
        <v>45292</v>
      </c>
      <c r="F578">
        <v>0</v>
      </c>
      <c r="G578" t="s">
        <v>125</v>
      </c>
    </row>
    <row r="579" spans="1:7" x14ac:dyDescent="0.3">
      <c r="A579">
        <v>2211200003</v>
      </c>
      <c r="B579" t="s">
        <v>42</v>
      </c>
      <c r="C579" t="s">
        <v>88</v>
      </c>
      <c r="E579" s="13">
        <v>45323</v>
      </c>
      <c r="F579">
        <v>0</v>
      </c>
      <c r="G579" t="s">
        <v>125</v>
      </c>
    </row>
    <row r="580" spans="1:7" x14ac:dyDescent="0.3">
      <c r="A580">
        <v>2211200003</v>
      </c>
      <c r="B580" t="s">
        <v>42</v>
      </c>
      <c r="C580" t="s">
        <v>88</v>
      </c>
      <c r="E580" s="13">
        <v>45352</v>
      </c>
      <c r="F580">
        <v>0</v>
      </c>
      <c r="G580" t="s">
        <v>125</v>
      </c>
    </row>
    <row r="581" spans="1:7" x14ac:dyDescent="0.3">
      <c r="A581">
        <v>2211200003</v>
      </c>
      <c r="B581" t="s">
        <v>42</v>
      </c>
      <c r="C581" t="s">
        <v>88</v>
      </c>
      <c r="E581" s="13">
        <v>45383</v>
      </c>
      <c r="F581">
        <v>0</v>
      </c>
      <c r="G581" t="s">
        <v>125</v>
      </c>
    </row>
    <row r="582" spans="1:7" x14ac:dyDescent="0.3">
      <c r="A582">
        <v>2211200003</v>
      </c>
      <c r="B582" t="s">
        <v>42</v>
      </c>
      <c r="C582" t="s">
        <v>88</v>
      </c>
      <c r="E582" s="13">
        <v>45413</v>
      </c>
      <c r="F582">
        <v>0</v>
      </c>
      <c r="G582" t="s">
        <v>125</v>
      </c>
    </row>
    <row r="583" spans="1:7" x14ac:dyDescent="0.3">
      <c r="A583">
        <v>2211200003</v>
      </c>
      <c r="B583" t="s">
        <v>42</v>
      </c>
      <c r="C583" t="s">
        <v>88</v>
      </c>
      <c r="E583" s="13">
        <v>45444</v>
      </c>
      <c r="F583">
        <v>0</v>
      </c>
      <c r="G583" t="s">
        <v>125</v>
      </c>
    </row>
    <row r="584" spans="1:7" x14ac:dyDescent="0.3">
      <c r="A584">
        <v>2211200003</v>
      </c>
      <c r="B584" t="s">
        <v>42</v>
      </c>
      <c r="C584" t="s">
        <v>88</v>
      </c>
      <c r="E584" s="13">
        <v>45474</v>
      </c>
      <c r="F584">
        <v>0</v>
      </c>
      <c r="G584" t="s">
        <v>125</v>
      </c>
    </row>
    <row r="585" spans="1:7" x14ac:dyDescent="0.3">
      <c r="A585">
        <v>2211200003</v>
      </c>
      <c r="B585" t="s">
        <v>42</v>
      </c>
      <c r="C585" t="s">
        <v>88</v>
      </c>
      <c r="E585" s="13">
        <v>45505</v>
      </c>
      <c r="F585">
        <v>0</v>
      </c>
      <c r="G585" t="s">
        <v>125</v>
      </c>
    </row>
    <row r="586" spans="1:7" x14ac:dyDescent="0.3">
      <c r="A586">
        <v>2211200003</v>
      </c>
      <c r="B586" t="s">
        <v>42</v>
      </c>
      <c r="C586" t="s">
        <v>88</v>
      </c>
      <c r="E586" s="13">
        <v>45536</v>
      </c>
      <c r="F586">
        <v>0</v>
      </c>
      <c r="G586" t="s">
        <v>125</v>
      </c>
    </row>
    <row r="587" spans="1:7" x14ac:dyDescent="0.3">
      <c r="A587">
        <v>2211200003</v>
      </c>
      <c r="B587" t="s">
        <v>42</v>
      </c>
      <c r="C587" t="s">
        <v>88</v>
      </c>
      <c r="E587" s="13">
        <v>45566</v>
      </c>
      <c r="F587">
        <v>0</v>
      </c>
      <c r="G587" t="s">
        <v>125</v>
      </c>
    </row>
    <row r="588" spans="1:7" x14ac:dyDescent="0.3">
      <c r="A588">
        <v>2211200003</v>
      </c>
      <c r="B588" t="s">
        <v>42</v>
      </c>
      <c r="C588" t="s">
        <v>88</v>
      </c>
      <c r="E588" s="13">
        <v>45597</v>
      </c>
      <c r="F588">
        <v>0</v>
      </c>
      <c r="G588" t="s">
        <v>125</v>
      </c>
    </row>
    <row r="589" spans="1:7" x14ac:dyDescent="0.3">
      <c r="A589">
        <v>2211200003</v>
      </c>
      <c r="B589" t="s">
        <v>42</v>
      </c>
      <c r="C589" t="s">
        <v>88</v>
      </c>
      <c r="E589" s="13">
        <v>45627</v>
      </c>
      <c r="F589">
        <v>0</v>
      </c>
      <c r="G589" t="s">
        <v>125</v>
      </c>
    </row>
    <row r="590" spans="1:7" x14ac:dyDescent="0.3">
      <c r="A590">
        <v>2211200003</v>
      </c>
      <c r="B590" t="s">
        <v>42</v>
      </c>
      <c r="C590" t="s">
        <v>88</v>
      </c>
      <c r="E590" s="13">
        <v>45658</v>
      </c>
      <c r="F590">
        <v>927464.07947095903</v>
      </c>
      <c r="G590" t="s">
        <v>125</v>
      </c>
    </row>
    <row r="591" spans="1:7" x14ac:dyDescent="0.3">
      <c r="A591">
        <v>2211200003</v>
      </c>
      <c r="B591" t="s">
        <v>42</v>
      </c>
      <c r="C591" t="s">
        <v>88</v>
      </c>
      <c r="E591" s="13">
        <v>45689</v>
      </c>
      <c r="F591">
        <v>705415.86234208697</v>
      </c>
      <c r="G591" t="s">
        <v>125</v>
      </c>
    </row>
    <row r="592" spans="1:7" x14ac:dyDescent="0.3">
      <c r="A592">
        <v>2211200003</v>
      </c>
      <c r="B592" t="s">
        <v>42</v>
      </c>
      <c r="C592" t="s">
        <v>88</v>
      </c>
      <c r="E592" s="13">
        <v>45717</v>
      </c>
      <c r="F592">
        <v>844968.03555313603</v>
      </c>
      <c r="G592" t="s">
        <v>125</v>
      </c>
    </row>
    <row r="593" spans="1:7" x14ac:dyDescent="0.3">
      <c r="A593">
        <v>2211200003</v>
      </c>
      <c r="B593" t="s">
        <v>42</v>
      </c>
      <c r="C593" t="s">
        <v>88</v>
      </c>
      <c r="E593" s="13">
        <v>45748</v>
      </c>
      <c r="F593">
        <v>951185.12176403799</v>
      </c>
      <c r="G593" t="s">
        <v>125</v>
      </c>
    </row>
    <row r="594" spans="1:7" x14ac:dyDescent="0.3">
      <c r="A594">
        <v>2211200003</v>
      </c>
      <c r="B594" t="s">
        <v>42</v>
      </c>
      <c r="C594" t="s">
        <v>88</v>
      </c>
      <c r="E594" s="13">
        <v>45778</v>
      </c>
      <c r="F594">
        <v>1063118.24671809</v>
      </c>
      <c r="G594" t="s">
        <v>125</v>
      </c>
    </row>
    <row r="595" spans="1:7" x14ac:dyDescent="0.3">
      <c r="A595">
        <v>2211200003</v>
      </c>
      <c r="B595" t="s">
        <v>42</v>
      </c>
      <c r="C595" t="s">
        <v>88</v>
      </c>
      <c r="E595" s="13">
        <v>45809</v>
      </c>
      <c r="F595">
        <v>883462.24840679998</v>
      </c>
      <c r="G595" t="s">
        <v>125</v>
      </c>
    </row>
    <row r="596" spans="1:7" x14ac:dyDescent="0.3">
      <c r="A596">
        <v>2201201000</v>
      </c>
      <c r="B596" t="s">
        <v>43</v>
      </c>
      <c r="C596" t="s">
        <v>88</v>
      </c>
      <c r="E596" s="13">
        <v>45292</v>
      </c>
      <c r="F596">
        <v>0</v>
      </c>
      <c r="G596" t="s">
        <v>126</v>
      </c>
    </row>
    <row r="597" spans="1:7" x14ac:dyDescent="0.3">
      <c r="A597">
        <v>2201201000</v>
      </c>
      <c r="B597" t="s">
        <v>43</v>
      </c>
      <c r="C597" t="s">
        <v>88</v>
      </c>
      <c r="E597" s="13">
        <v>45323</v>
      </c>
      <c r="F597">
        <v>0</v>
      </c>
      <c r="G597" t="s">
        <v>126</v>
      </c>
    </row>
    <row r="598" spans="1:7" x14ac:dyDescent="0.3">
      <c r="A598">
        <v>2201201000</v>
      </c>
      <c r="B598" t="s">
        <v>43</v>
      </c>
      <c r="C598" t="s">
        <v>88</v>
      </c>
      <c r="E598" s="13">
        <v>45352</v>
      </c>
      <c r="F598">
        <v>0</v>
      </c>
      <c r="G598" t="s">
        <v>126</v>
      </c>
    </row>
    <row r="599" spans="1:7" x14ac:dyDescent="0.3">
      <c r="A599">
        <v>2201201000</v>
      </c>
      <c r="B599" t="s">
        <v>43</v>
      </c>
      <c r="C599" t="s">
        <v>88</v>
      </c>
      <c r="E599" s="13">
        <v>45383</v>
      </c>
      <c r="F599">
        <v>0</v>
      </c>
      <c r="G599" t="s">
        <v>126</v>
      </c>
    </row>
    <row r="600" spans="1:7" x14ac:dyDescent="0.3">
      <c r="A600">
        <v>2201201000</v>
      </c>
      <c r="B600" t="s">
        <v>43</v>
      </c>
      <c r="C600" t="s">
        <v>88</v>
      </c>
      <c r="E600" s="13">
        <v>45413</v>
      </c>
      <c r="F600">
        <v>0</v>
      </c>
      <c r="G600" t="s">
        <v>126</v>
      </c>
    </row>
    <row r="601" spans="1:7" x14ac:dyDescent="0.3">
      <c r="A601">
        <v>2201201000</v>
      </c>
      <c r="B601" t="s">
        <v>43</v>
      </c>
      <c r="C601" t="s">
        <v>88</v>
      </c>
      <c r="E601" s="13">
        <v>45444</v>
      </c>
      <c r="F601">
        <v>0</v>
      </c>
      <c r="G601" t="s">
        <v>126</v>
      </c>
    </row>
    <row r="602" spans="1:7" x14ac:dyDescent="0.3">
      <c r="A602">
        <v>2201201000</v>
      </c>
      <c r="B602" t="s">
        <v>43</v>
      </c>
      <c r="C602" t="s">
        <v>88</v>
      </c>
      <c r="E602" s="13">
        <v>45474</v>
      </c>
      <c r="F602">
        <v>0</v>
      </c>
      <c r="G602" t="s">
        <v>126</v>
      </c>
    </row>
    <row r="603" spans="1:7" x14ac:dyDescent="0.3">
      <c r="A603">
        <v>2201201000</v>
      </c>
      <c r="B603" t="s">
        <v>43</v>
      </c>
      <c r="C603" t="s">
        <v>88</v>
      </c>
      <c r="E603" s="13">
        <v>45505</v>
      </c>
      <c r="F603">
        <v>0</v>
      </c>
      <c r="G603" t="s">
        <v>126</v>
      </c>
    </row>
    <row r="604" spans="1:7" x14ac:dyDescent="0.3">
      <c r="A604">
        <v>2201201000</v>
      </c>
      <c r="B604" t="s">
        <v>43</v>
      </c>
      <c r="C604" t="s">
        <v>88</v>
      </c>
      <c r="E604" s="13">
        <v>45536</v>
      </c>
      <c r="F604">
        <v>0</v>
      </c>
      <c r="G604" t="s">
        <v>126</v>
      </c>
    </row>
    <row r="605" spans="1:7" x14ac:dyDescent="0.3">
      <c r="A605">
        <v>2201201000</v>
      </c>
      <c r="B605" t="s">
        <v>43</v>
      </c>
      <c r="C605" t="s">
        <v>88</v>
      </c>
      <c r="E605" s="13">
        <v>45566</v>
      </c>
      <c r="F605">
        <v>0</v>
      </c>
      <c r="G605" t="s">
        <v>126</v>
      </c>
    </row>
    <row r="606" spans="1:7" x14ac:dyDescent="0.3">
      <c r="A606">
        <v>2201201000</v>
      </c>
      <c r="B606" t="s">
        <v>43</v>
      </c>
      <c r="C606" t="s">
        <v>88</v>
      </c>
      <c r="E606" s="13">
        <v>45597</v>
      </c>
      <c r="F606">
        <v>0</v>
      </c>
      <c r="G606" t="s">
        <v>126</v>
      </c>
    </row>
    <row r="607" spans="1:7" x14ac:dyDescent="0.3">
      <c r="A607">
        <v>2201201000</v>
      </c>
      <c r="B607" t="s">
        <v>43</v>
      </c>
      <c r="C607" t="s">
        <v>88</v>
      </c>
      <c r="E607" s="13">
        <v>45627</v>
      </c>
      <c r="F607">
        <v>0</v>
      </c>
      <c r="G607" t="s">
        <v>126</v>
      </c>
    </row>
    <row r="608" spans="1:7" x14ac:dyDescent="0.3">
      <c r="A608">
        <v>2201201000</v>
      </c>
      <c r="B608" t="s">
        <v>43</v>
      </c>
      <c r="C608" t="s">
        <v>88</v>
      </c>
      <c r="E608" s="13">
        <v>45658</v>
      </c>
      <c r="F608">
        <v>11611.850274976399</v>
      </c>
      <c r="G608" t="s">
        <v>126</v>
      </c>
    </row>
    <row r="609" spans="1:7" x14ac:dyDescent="0.3">
      <c r="A609">
        <v>2201201000</v>
      </c>
      <c r="B609" t="s">
        <v>43</v>
      </c>
      <c r="C609" t="s">
        <v>88</v>
      </c>
      <c r="E609" s="13">
        <v>45689</v>
      </c>
      <c r="F609">
        <v>8922.8193539330496</v>
      </c>
      <c r="G609" t="s">
        <v>126</v>
      </c>
    </row>
    <row r="610" spans="1:7" x14ac:dyDescent="0.3">
      <c r="A610">
        <v>2201201000</v>
      </c>
      <c r="B610" t="s">
        <v>43</v>
      </c>
      <c r="C610" t="s">
        <v>88</v>
      </c>
      <c r="E610" s="13">
        <v>45717</v>
      </c>
      <c r="F610">
        <v>10794.8977603319</v>
      </c>
      <c r="G610" t="s">
        <v>126</v>
      </c>
    </row>
    <row r="611" spans="1:7" x14ac:dyDescent="0.3">
      <c r="A611">
        <v>2201201000</v>
      </c>
      <c r="B611" t="s">
        <v>43</v>
      </c>
      <c r="C611" t="s">
        <v>88</v>
      </c>
      <c r="E611" s="13">
        <v>45748</v>
      </c>
      <c r="F611">
        <v>12371.1268462671</v>
      </c>
      <c r="G611" t="s">
        <v>126</v>
      </c>
    </row>
    <row r="612" spans="1:7" x14ac:dyDescent="0.3">
      <c r="A612">
        <v>2201201000</v>
      </c>
      <c r="B612" t="s">
        <v>43</v>
      </c>
      <c r="C612" t="s">
        <v>88</v>
      </c>
      <c r="E612" s="13">
        <v>45778</v>
      </c>
      <c r="F612">
        <v>13693.7410790924</v>
      </c>
      <c r="G612" t="s">
        <v>126</v>
      </c>
    </row>
    <row r="613" spans="1:7" x14ac:dyDescent="0.3">
      <c r="A613">
        <v>2201201000</v>
      </c>
      <c r="B613" t="s">
        <v>43</v>
      </c>
      <c r="C613" t="s">
        <v>88</v>
      </c>
      <c r="E613" s="13">
        <v>45809</v>
      </c>
      <c r="F613">
        <v>11170.5731586531</v>
      </c>
      <c r="G613" t="s">
        <v>126</v>
      </c>
    </row>
    <row r="614" spans="1:7" x14ac:dyDescent="0.3">
      <c r="A614">
        <v>2690200007</v>
      </c>
      <c r="B614" t="s">
        <v>29</v>
      </c>
      <c r="C614" t="s">
        <v>90</v>
      </c>
      <c r="D614" t="s">
        <v>25</v>
      </c>
      <c r="E614" s="13">
        <v>45292</v>
      </c>
      <c r="F614">
        <v>0</v>
      </c>
      <c r="G614" t="s">
        <v>127</v>
      </c>
    </row>
    <row r="615" spans="1:7" x14ac:dyDescent="0.3">
      <c r="A615">
        <v>2690200007</v>
      </c>
      <c r="B615" t="s">
        <v>29</v>
      </c>
      <c r="C615" t="s">
        <v>90</v>
      </c>
      <c r="D615" t="s">
        <v>25</v>
      </c>
      <c r="E615" s="13">
        <v>45323</v>
      </c>
      <c r="F615">
        <v>0</v>
      </c>
      <c r="G615" t="s">
        <v>127</v>
      </c>
    </row>
    <row r="616" spans="1:7" x14ac:dyDescent="0.3">
      <c r="A616">
        <v>2690200007</v>
      </c>
      <c r="B616" t="s">
        <v>29</v>
      </c>
      <c r="C616" t="s">
        <v>90</v>
      </c>
      <c r="D616" t="s">
        <v>25</v>
      </c>
      <c r="E616" s="13">
        <v>45352</v>
      </c>
      <c r="F616">
        <v>0</v>
      </c>
      <c r="G616" t="s">
        <v>127</v>
      </c>
    </row>
    <row r="617" spans="1:7" x14ac:dyDescent="0.3">
      <c r="A617">
        <v>2690200007</v>
      </c>
      <c r="B617" t="s">
        <v>29</v>
      </c>
      <c r="C617" t="s">
        <v>90</v>
      </c>
      <c r="D617" t="s">
        <v>25</v>
      </c>
      <c r="E617" s="13">
        <v>45383</v>
      </c>
      <c r="F617">
        <v>0</v>
      </c>
      <c r="G617" t="s">
        <v>127</v>
      </c>
    </row>
    <row r="618" spans="1:7" x14ac:dyDescent="0.3">
      <c r="A618">
        <v>2690200007</v>
      </c>
      <c r="B618" t="s">
        <v>29</v>
      </c>
      <c r="C618" t="s">
        <v>90</v>
      </c>
      <c r="D618" t="s">
        <v>25</v>
      </c>
      <c r="E618" s="13">
        <v>45413</v>
      </c>
      <c r="F618">
        <v>0</v>
      </c>
      <c r="G618" t="s">
        <v>127</v>
      </c>
    </row>
    <row r="619" spans="1:7" x14ac:dyDescent="0.3">
      <c r="A619">
        <v>2690200007</v>
      </c>
      <c r="B619" t="s">
        <v>29</v>
      </c>
      <c r="C619" t="s">
        <v>90</v>
      </c>
      <c r="D619" t="s">
        <v>25</v>
      </c>
      <c r="E619" s="13">
        <v>45444</v>
      </c>
      <c r="F619">
        <v>0</v>
      </c>
      <c r="G619" t="s">
        <v>127</v>
      </c>
    </row>
    <row r="620" spans="1:7" x14ac:dyDescent="0.3">
      <c r="A620">
        <v>2690200007</v>
      </c>
      <c r="B620" t="s">
        <v>29</v>
      </c>
      <c r="C620" t="s">
        <v>90</v>
      </c>
      <c r="D620" t="s">
        <v>25</v>
      </c>
      <c r="E620" s="13">
        <v>45474</v>
      </c>
      <c r="F620">
        <v>0</v>
      </c>
      <c r="G620" t="s">
        <v>127</v>
      </c>
    </row>
    <row r="621" spans="1:7" x14ac:dyDescent="0.3">
      <c r="A621">
        <v>2690200007</v>
      </c>
      <c r="B621" t="s">
        <v>29</v>
      </c>
      <c r="C621" t="s">
        <v>90</v>
      </c>
      <c r="D621" t="s">
        <v>25</v>
      </c>
      <c r="E621" s="13">
        <v>45505</v>
      </c>
      <c r="F621">
        <v>0</v>
      </c>
      <c r="G621" t="s">
        <v>127</v>
      </c>
    </row>
    <row r="622" spans="1:7" x14ac:dyDescent="0.3">
      <c r="A622">
        <v>2690200007</v>
      </c>
      <c r="B622" t="s">
        <v>29</v>
      </c>
      <c r="C622" t="s">
        <v>90</v>
      </c>
      <c r="D622" t="s">
        <v>25</v>
      </c>
      <c r="E622" s="13">
        <v>45536</v>
      </c>
      <c r="F622">
        <v>0</v>
      </c>
      <c r="G622" t="s">
        <v>127</v>
      </c>
    </row>
    <row r="623" spans="1:7" x14ac:dyDescent="0.3">
      <c r="A623">
        <v>2690200007</v>
      </c>
      <c r="B623" t="s">
        <v>29</v>
      </c>
      <c r="C623" t="s">
        <v>90</v>
      </c>
      <c r="D623" t="s">
        <v>25</v>
      </c>
      <c r="E623" s="13">
        <v>45566</v>
      </c>
      <c r="F623">
        <v>0</v>
      </c>
      <c r="G623" t="s">
        <v>127</v>
      </c>
    </row>
    <row r="624" spans="1:7" x14ac:dyDescent="0.3">
      <c r="A624">
        <v>2690200007</v>
      </c>
      <c r="B624" t="s">
        <v>29</v>
      </c>
      <c r="C624" t="s">
        <v>90</v>
      </c>
      <c r="D624" t="s">
        <v>25</v>
      </c>
      <c r="E624" s="13">
        <v>45597</v>
      </c>
      <c r="F624">
        <v>0</v>
      </c>
      <c r="G624" t="s">
        <v>127</v>
      </c>
    </row>
    <row r="625" spans="1:7" x14ac:dyDescent="0.3">
      <c r="A625">
        <v>2690200007</v>
      </c>
      <c r="B625" t="s">
        <v>29</v>
      </c>
      <c r="C625" t="s">
        <v>90</v>
      </c>
      <c r="D625" t="s">
        <v>25</v>
      </c>
      <c r="E625" s="13">
        <v>45627</v>
      </c>
      <c r="F625">
        <v>0</v>
      </c>
      <c r="G625" t="s">
        <v>127</v>
      </c>
    </row>
    <row r="626" spans="1:7" x14ac:dyDescent="0.3">
      <c r="A626">
        <v>2690200007</v>
      </c>
      <c r="B626" t="s">
        <v>29</v>
      </c>
      <c r="C626" t="s">
        <v>90</v>
      </c>
      <c r="D626" t="s">
        <v>25</v>
      </c>
      <c r="E626" s="13">
        <v>45658</v>
      </c>
      <c r="F626">
        <v>329966.84307302802</v>
      </c>
      <c r="G626" t="s">
        <v>127</v>
      </c>
    </row>
    <row r="627" spans="1:7" x14ac:dyDescent="0.3">
      <c r="A627">
        <v>2690200007</v>
      </c>
      <c r="B627" t="s">
        <v>29</v>
      </c>
      <c r="C627" t="s">
        <v>90</v>
      </c>
      <c r="D627" t="s">
        <v>25</v>
      </c>
      <c r="E627" s="13">
        <v>45689</v>
      </c>
      <c r="F627">
        <v>444477.28743122099</v>
      </c>
      <c r="G627" t="s">
        <v>127</v>
      </c>
    </row>
    <row r="628" spans="1:7" x14ac:dyDescent="0.3">
      <c r="A628">
        <v>2690200007</v>
      </c>
      <c r="B628" t="s">
        <v>29</v>
      </c>
      <c r="C628" t="s">
        <v>90</v>
      </c>
      <c r="D628" t="s">
        <v>25</v>
      </c>
      <c r="E628" s="13">
        <v>45717</v>
      </c>
      <c r="F628">
        <v>530386.95979647699</v>
      </c>
      <c r="G628" t="s">
        <v>127</v>
      </c>
    </row>
    <row r="629" spans="1:7" x14ac:dyDescent="0.3">
      <c r="A629">
        <v>2690200007</v>
      </c>
      <c r="B629" t="s">
        <v>29</v>
      </c>
      <c r="C629" t="s">
        <v>90</v>
      </c>
      <c r="D629" t="s">
        <v>25</v>
      </c>
      <c r="E629" s="13">
        <v>45748</v>
      </c>
      <c r="F629">
        <v>380806.02657311701</v>
      </c>
      <c r="G629" t="s">
        <v>127</v>
      </c>
    </row>
    <row r="630" spans="1:7" x14ac:dyDescent="0.3">
      <c r="A630">
        <v>2690200007</v>
      </c>
      <c r="B630" t="s">
        <v>29</v>
      </c>
      <c r="C630" t="s">
        <v>90</v>
      </c>
      <c r="D630" t="s">
        <v>25</v>
      </c>
      <c r="E630" s="13">
        <v>45778</v>
      </c>
      <c r="F630">
        <v>409564.14912196499</v>
      </c>
      <c r="G630" t="s">
        <v>127</v>
      </c>
    </row>
    <row r="631" spans="1:7" x14ac:dyDescent="0.3">
      <c r="A631">
        <v>2690200007</v>
      </c>
      <c r="B631" t="s">
        <v>29</v>
      </c>
      <c r="C631" t="s">
        <v>90</v>
      </c>
      <c r="D631" t="s">
        <v>25</v>
      </c>
      <c r="E631" s="13">
        <v>45809</v>
      </c>
      <c r="F631">
        <v>367756.222488261</v>
      </c>
      <c r="G631" t="s">
        <v>127</v>
      </c>
    </row>
    <row r="632" spans="1:7" x14ac:dyDescent="0.3">
      <c r="A632">
        <v>2690200010</v>
      </c>
      <c r="B632" t="s">
        <v>53</v>
      </c>
      <c r="C632" t="s">
        <v>90</v>
      </c>
      <c r="D632" t="s">
        <v>25</v>
      </c>
      <c r="E632" s="13">
        <v>45292</v>
      </c>
      <c r="F632">
        <v>0</v>
      </c>
      <c r="G632" t="s">
        <v>128</v>
      </c>
    </row>
    <row r="633" spans="1:7" x14ac:dyDescent="0.3">
      <c r="A633">
        <v>2690200010</v>
      </c>
      <c r="B633" t="s">
        <v>53</v>
      </c>
      <c r="C633" t="s">
        <v>90</v>
      </c>
      <c r="D633" t="s">
        <v>25</v>
      </c>
      <c r="E633" s="13">
        <v>45323</v>
      </c>
      <c r="F633">
        <v>0</v>
      </c>
      <c r="G633" t="s">
        <v>128</v>
      </c>
    </row>
    <row r="634" spans="1:7" x14ac:dyDescent="0.3">
      <c r="A634">
        <v>2690200010</v>
      </c>
      <c r="B634" t="s">
        <v>53</v>
      </c>
      <c r="C634" t="s">
        <v>90</v>
      </c>
      <c r="D634" t="s">
        <v>25</v>
      </c>
      <c r="E634" s="13">
        <v>45352</v>
      </c>
      <c r="F634">
        <v>0</v>
      </c>
      <c r="G634" t="s">
        <v>128</v>
      </c>
    </row>
    <row r="635" spans="1:7" x14ac:dyDescent="0.3">
      <c r="A635">
        <v>2690200010</v>
      </c>
      <c r="B635" t="s">
        <v>53</v>
      </c>
      <c r="C635" t="s">
        <v>90</v>
      </c>
      <c r="D635" t="s">
        <v>25</v>
      </c>
      <c r="E635" s="13">
        <v>45383</v>
      </c>
      <c r="F635">
        <v>0</v>
      </c>
      <c r="G635" t="s">
        <v>128</v>
      </c>
    </row>
    <row r="636" spans="1:7" x14ac:dyDescent="0.3">
      <c r="A636">
        <v>2690200010</v>
      </c>
      <c r="B636" t="s">
        <v>53</v>
      </c>
      <c r="C636" t="s">
        <v>90</v>
      </c>
      <c r="D636" t="s">
        <v>25</v>
      </c>
      <c r="E636" s="13">
        <v>45413</v>
      </c>
      <c r="F636">
        <v>0</v>
      </c>
      <c r="G636" t="s">
        <v>128</v>
      </c>
    </row>
    <row r="637" spans="1:7" x14ac:dyDescent="0.3">
      <c r="A637">
        <v>2690200010</v>
      </c>
      <c r="B637" t="s">
        <v>53</v>
      </c>
      <c r="C637" t="s">
        <v>90</v>
      </c>
      <c r="D637" t="s">
        <v>25</v>
      </c>
      <c r="E637" s="13">
        <v>45444</v>
      </c>
      <c r="F637">
        <v>0</v>
      </c>
      <c r="G637" t="s">
        <v>128</v>
      </c>
    </row>
    <row r="638" spans="1:7" x14ac:dyDescent="0.3">
      <c r="A638">
        <v>2690200010</v>
      </c>
      <c r="B638" t="s">
        <v>53</v>
      </c>
      <c r="C638" t="s">
        <v>90</v>
      </c>
      <c r="D638" t="s">
        <v>25</v>
      </c>
      <c r="E638" s="13">
        <v>45474</v>
      </c>
      <c r="F638">
        <v>0</v>
      </c>
      <c r="G638" t="s">
        <v>128</v>
      </c>
    </row>
    <row r="639" spans="1:7" x14ac:dyDescent="0.3">
      <c r="A639">
        <v>2690200010</v>
      </c>
      <c r="B639" t="s">
        <v>53</v>
      </c>
      <c r="C639" t="s">
        <v>90</v>
      </c>
      <c r="D639" t="s">
        <v>25</v>
      </c>
      <c r="E639" s="13">
        <v>45505</v>
      </c>
      <c r="F639">
        <v>0</v>
      </c>
      <c r="G639" t="s">
        <v>128</v>
      </c>
    </row>
    <row r="640" spans="1:7" x14ac:dyDescent="0.3">
      <c r="A640">
        <v>2690200010</v>
      </c>
      <c r="B640" t="s">
        <v>53</v>
      </c>
      <c r="C640" t="s">
        <v>90</v>
      </c>
      <c r="D640" t="s">
        <v>25</v>
      </c>
      <c r="E640" s="13">
        <v>45536</v>
      </c>
      <c r="F640">
        <v>0</v>
      </c>
      <c r="G640" t="s">
        <v>128</v>
      </c>
    </row>
    <row r="641" spans="1:7" x14ac:dyDescent="0.3">
      <c r="A641">
        <v>2690200010</v>
      </c>
      <c r="B641" t="s">
        <v>53</v>
      </c>
      <c r="C641" t="s">
        <v>90</v>
      </c>
      <c r="D641" t="s">
        <v>25</v>
      </c>
      <c r="E641" s="13">
        <v>45566</v>
      </c>
      <c r="F641">
        <v>0</v>
      </c>
      <c r="G641" t="s">
        <v>128</v>
      </c>
    </row>
    <row r="642" spans="1:7" x14ac:dyDescent="0.3">
      <c r="A642">
        <v>2690200010</v>
      </c>
      <c r="B642" t="s">
        <v>53</v>
      </c>
      <c r="C642" t="s">
        <v>90</v>
      </c>
      <c r="D642" t="s">
        <v>25</v>
      </c>
      <c r="E642" s="13">
        <v>45597</v>
      </c>
      <c r="F642">
        <v>0</v>
      </c>
      <c r="G642" t="s">
        <v>128</v>
      </c>
    </row>
    <row r="643" spans="1:7" x14ac:dyDescent="0.3">
      <c r="A643">
        <v>2690200010</v>
      </c>
      <c r="B643" t="s">
        <v>53</v>
      </c>
      <c r="C643" t="s">
        <v>90</v>
      </c>
      <c r="D643" t="s">
        <v>25</v>
      </c>
      <c r="E643" s="13">
        <v>45627</v>
      </c>
      <c r="F643">
        <v>0</v>
      </c>
      <c r="G643" t="s">
        <v>128</v>
      </c>
    </row>
    <row r="644" spans="1:7" x14ac:dyDescent="0.3">
      <c r="A644">
        <v>2690200010</v>
      </c>
      <c r="B644" t="s">
        <v>53</v>
      </c>
      <c r="C644" t="s">
        <v>90</v>
      </c>
      <c r="D644" t="s">
        <v>25</v>
      </c>
      <c r="E644" s="13">
        <v>45658</v>
      </c>
      <c r="F644">
        <v>74250.497054608102</v>
      </c>
      <c r="G644" t="s">
        <v>128</v>
      </c>
    </row>
    <row r="645" spans="1:7" x14ac:dyDescent="0.3">
      <c r="A645">
        <v>2690200010</v>
      </c>
      <c r="B645" t="s">
        <v>53</v>
      </c>
      <c r="C645" t="s">
        <v>90</v>
      </c>
      <c r="D645" t="s">
        <v>25</v>
      </c>
      <c r="E645" s="13">
        <v>45689</v>
      </c>
      <c r="F645">
        <v>90525.201571920697</v>
      </c>
      <c r="G645" t="s">
        <v>128</v>
      </c>
    </row>
    <row r="646" spans="1:7" x14ac:dyDescent="0.3">
      <c r="A646">
        <v>2690200010</v>
      </c>
      <c r="B646" t="s">
        <v>53</v>
      </c>
      <c r="C646" t="s">
        <v>90</v>
      </c>
      <c r="D646" t="s">
        <v>25</v>
      </c>
      <c r="E646" s="13">
        <v>45717</v>
      </c>
      <c r="F646">
        <v>120810.01492454299</v>
      </c>
      <c r="G646" t="s">
        <v>128</v>
      </c>
    </row>
    <row r="647" spans="1:7" x14ac:dyDescent="0.3">
      <c r="A647">
        <v>2690200010</v>
      </c>
      <c r="B647" t="s">
        <v>53</v>
      </c>
      <c r="C647" t="s">
        <v>90</v>
      </c>
      <c r="D647" t="s">
        <v>25</v>
      </c>
      <c r="E647" s="13">
        <v>45748</v>
      </c>
      <c r="F647">
        <v>111996.598302556</v>
      </c>
      <c r="G647" t="s">
        <v>128</v>
      </c>
    </row>
    <row r="648" spans="1:7" x14ac:dyDescent="0.3">
      <c r="A648">
        <v>2690200010</v>
      </c>
      <c r="B648" t="s">
        <v>53</v>
      </c>
      <c r="C648" t="s">
        <v>90</v>
      </c>
      <c r="D648" t="s">
        <v>25</v>
      </c>
      <c r="E648" s="13">
        <v>45778</v>
      </c>
      <c r="F648">
        <v>114779.62223885801</v>
      </c>
      <c r="G648" t="s">
        <v>128</v>
      </c>
    </row>
    <row r="649" spans="1:7" x14ac:dyDescent="0.3">
      <c r="A649">
        <v>2690200010</v>
      </c>
      <c r="B649" t="s">
        <v>53</v>
      </c>
      <c r="C649" t="s">
        <v>90</v>
      </c>
      <c r="D649" t="s">
        <v>25</v>
      </c>
      <c r="E649" s="13">
        <v>45809</v>
      </c>
      <c r="F649">
        <v>104151.265933988</v>
      </c>
      <c r="G649" t="s">
        <v>128</v>
      </c>
    </row>
    <row r="650" spans="1:7" x14ac:dyDescent="0.3">
      <c r="A650">
        <v>2532300000</v>
      </c>
      <c r="B650" t="s">
        <v>26</v>
      </c>
      <c r="C650" t="s">
        <v>90</v>
      </c>
      <c r="D650" t="s">
        <v>26</v>
      </c>
      <c r="E650" s="13">
        <v>45292</v>
      </c>
      <c r="F650">
        <v>0</v>
      </c>
      <c r="G650" t="s">
        <v>129</v>
      </c>
    </row>
    <row r="651" spans="1:7" x14ac:dyDescent="0.3">
      <c r="A651">
        <v>2532300000</v>
      </c>
      <c r="B651" t="s">
        <v>26</v>
      </c>
      <c r="C651" t="s">
        <v>90</v>
      </c>
      <c r="D651" t="s">
        <v>26</v>
      </c>
      <c r="E651" s="13">
        <v>45323</v>
      </c>
      <c r="F651">
        <v>0</v>
      </c>
      <c r="G651" t="s">
        <v>129</v>
      </c>
    </row>
    <row r="652" spans="1:7" x14ac:dyDescent="0.3">
      <c r="A652">
        <v>2532300000</v>
      </c>
      <c r="B652" t="s">
        <v>26</v>
      </c>
      <c r="C652" t="s">
        <v>90</v>
      </c>
      <c r="D652" t="s">
        <v>26</v>
      </c>
      <c r="E652" s="13">
        <v>45352</v>
      </c>
      <c r="F652">
        <v>0</v>
      </c>
      <c r="G652" t="s">
        <v>129</v>
      </c>
    </row>
    <row r="653" spans="1:7" x14ac:dyDescent="0.3">
      <c r="A653">
        <v>2532300000</v>
      </c>
      <c r="B653" t="s">
        <v>26</v>
      </c>
      <c r="C653" t="s">
        <v>90</v>
      </c>
      <c r="D653" t="s">
        <v>26</v>
      </c>
      <c r="E653" s="13">
        <v>45383</v>
      </c>
      <c r="F653">
        <v>0</v>
      </c>
      <c r="G653" t="s">
        <v>129</v>
      </c>
    </row>
    <row r="654" spans="1:7" x14ac:dyDescent="0.3">
      <c r="A654">
        <v>2532300000</v>
      </c>
      <c r="B654" t="s">
        <v>26</v>
      </c>
      <c r="C654" t="s">
        <v>90</v>
      </c>
      <c r="D654" t="s">
        <v>26</v>
      </c>
      <c r="E654" s="13">
        <v>45413</v>
      </c>
      <c r="F654">
        <v>0</v>
      </c>
      <c r="G654" t="s">
        <v>129</v>
      </c>
    </row>
    <row r="655" spans="1:7" x14ac:dyDescent="0.3">
      <c r="A655">
        <v>2532300000</v>
      </c>
      <c r="B655" t="s">
        <v>26</v>
      </c>
      <c r="C655" t="s">
        <v>90</v>
      </c>
      <c r="D655" t="s">
        <v>26</v>
      </c>
      <c r="E655" s="13">
        <v>45444</v>
      </c>
      <c r="F655">
        <v>0</v>
      </c>
      <c r="G655" t="s">
        <v>129</v>
      </c>
    </row>
    <row r="656" spans="1:7" x14ac:dyDescent="0.3">
      <c r="A656">
        <v>2532300000</v>
      </c>
      <c r="B656" t="s">
        <v>26</v>
      </c>
      <c r="C656" t="s">
        <v>90</v>
      </c>
      <c r="D656" t="s">
        <v>26</v>
      </c>
      <c r="E656" s="13">
        <v>45474</v>
      </c>
      <c r="F656">
        <v>0</v>
      </c>
      <c r="G656" t="s">
        <v>129</v>
      </c>
    </row>
    <row r="657" spans="1:7" x14ac:dyDescent="0.3">
      <c r="A657">
        <v>2532300000</v>
      </c>
      <c r="B657" t="s">
        <v>26</v>
      </c>
      <c r="C657" t="s">
        <v>90</v>
      </c>
      <c r="D657" t="s">
        <v>26</v>
      </c>
      <c r="E657" s="13">
        <v>45505</v>
      </c>
      <c r="F657">
        <v>0</v>
      </c>
      <c r="G657" t="s">
        <v>129</v>
      </c>
    </row>
    <row r="658" spans="1:7" x14ac:dyDescent="0.3">
      <c r="A658">
        <v>2532300000</v>
      </c>
      <c r="B658" t="s">
        <v>26</v>
      </c>
      <c r="C658" t="s">
        <v>90</v>
      </c>
      <c r="D658" t="s">
        <v>26</v>
      </c>
      <c r="E658" s="13">
        <v>45536</v>
      </c>
      <c r="F658">
        <v>0</v>
      </c>
      <c r="G658" t="s">
        <v>129</v>
      </c>
    </row>
    <row r="659" spans="1:7" x14ac:dyDescent="0.3">
      <c r="A659">
        <v>2532300000</v>
      </c>
      <c r="B659" t="s">
        <v>26</v>
      </c>
      <c r="C659" t="s">
        <v>90</v>
      </c>
      <c r="D659" t="s">
        <v>26</v>
      </c>
      <c r="E659" s="13">
        <v>45566</v>
      </c>
      <c r="F659">
        <v>0</v>
      </c>
      <c r="G659" t="s">
        <v>129</v>
      </c>
    </row>
    <row r="660" spans="1:7" x14ac:dyDescent="0.3">
      <c r="A660">
        <v>2532300000</v>
      </c>
      <c r="B660" t="s">
        <v>26</v>
      </c>
      <c r="C660" t="s">
        <v>90</v>
      </c>
      <c r="D660" t="s">
        <v>26</v>
      </c>
      <c r="E660" s="13">
        <v>45597</v>
      </c>
      <c r="F660">
        <v>0</v>
      </c>
      <c r="G660" t="s">
        <v>129</v>
      </c>
    </row>
    <row r="661" spans="1:7" x14ac:dyDescent="0.3">
      <c r="A661">
        <v>2532300000</v>
      </c>
      <c r="B661" t="s">
        <v>26</v>
      </c>
      <c r="C661" t="s">
        <v>90</v>
      </c>
      <c r="D661" t="s">
        <v>26</v>
      </c>
      <c r="E661" s="13">
        <v>45627</v>
      </c>
      <c r="F661">
        <v>0</v>
      </c>
      <c r="G661" t="s">
        <v>129</v>
      </c>
    </row>
    <row r="662" spans="1:7" x14ac:dyDescent="0.3">
      <c r="A662">
        <v>2532300000</v>
      </c>
      <c r="B662" t="s">
        <v>26</v>
      </c>
      <c r="C662" t="s">
        <v>90</v>
      </c>
      <c r="D662" t="s">
        <v>26</v>
      </c>
      <c r="E662" s="13">
        <v>45658</v>
      </c>
      <c r="F662">
        <v>1830023.9135537201</v>
      </c>
      <c r="G662" t="s">
        <v>129</v>
      </c>
    </row>
    <row r="663" spans="1:7" x14ac:dyDescent="0.3">
      <c r="A663">
        <v>2532300000</v>
      </c>
      <c r="B663" t="s">
        <v>26</v>
      </c>
      <c r="C663" t="s">
        <v>90</v>
      </c>
      <c r="D663" t="s">
        <v>26</v>
      </c>
      <c r="E663" s="13">
        <v>45689</v>
      </c>
      <c r="F663">
        <v>2405737.6774740801</v>
      </c>
      <c r="G663" t="s">
        <v>129</v>
      </c>
    </row>
    <row r="664" spans="1:7" x14ac:dyDescent="0.3">
      <c r="A664">
        <v>2532300000</v>
      </c>
      <c r="B664" t="s">
        <v>26</v>
      </c>
      <c r="C664" t="s">
        <v>90</v>
      </c>
      <c r="D664" t="s">
        <v>26</v>
      </c>
      <c r="E664" s="13">
        <v>45717</v>
      </c>
      <c r="F664">
        <v>2768479.82802766</v>
      </c>
      <c r="G664" t="s">
        <v>129</v>
      </c>
    </row>
    <row r="665" spans="1:7" x14ac:dyDescent="0.3">
      <c r="A665">
        <v>2532300000</v>
      </c>
      <c r="B665" t="s">
        <v>26</v>
      </c>
      <c r="C665" t="s">
        <v>90</v>
      </c>
      <c r="D665" t="s">
        <v>26</v>
      </c>
      <c r="E665" s="13">
        <v>45748</v>
      </c>
      <c r="F665">
        <v>2084666.57778483</v>
      </c>
      <c r="G665" t="s">
        <v>129</v>
      </c>
    </row>
    <row r="666" spans="1:7" x14ac:dyDescent="0.3">
      <c r="A666">
        <v>2532300000</v>
      </c>
      <c r="B666" t="s">
        <v>26</v>
      </c>
      <c r="C666" t="s">
        <v>90</v>
      </c>
      <c r="D666" t="s">
        <v>26</v>
      </c>
      <c r="E666" s="13">
        <v>45778</v>
      </c>
      <c r="F666">
        <v>2202174.6291354098</v>
      </c>
      <c r="G666" t="s">
        <v>129</v>
      </c>
    </row>
    <row r="667" spans="1:7" x14ac:dyDescent="0.3">
      <c r="A667">
        <v>2532300000</v>
      </c>
      <c r="B667" t="s">
        <v>26</v>
      </c>
      <c r="C667" t="s">
        <v>90</v>
      </c>
      <c r="D667" t="s">
        <v>26</v>
      </c>
      <c r="E667" s="13">
        <v>45809</v>
      </c>
      <c r="F667">
        <v>1982751.8174181301</v>
      </c>
      <c r="G667" t="s">
        <v>129</v>
      </c>
    </row>
    <row r="668" spans="1:7" x14ac:dyDescent="0.3">
      <c r="A668">
        <v>2530200000</v>
      </c>
      <c r="B668" t="s">
        <v>52</v>
      </c>
      <c r="C668" t="s">
        <v>90</v>
      </c>
      <c r="D668" t="s">
        <v>27</v>
      </c>
      <c r="E668" s="13">
        <v>45292</v>
      </c>
      <c r="F668">
        <v>0</v>
      </c>
      <c r="G668" t="s">
        <v>130</v>
      </c>
    </row>
    <row r="669" spans="1:7" x14ac:dyDescent="0.3">
      <c r="A669">
        <v>2530200000</v>
      </c>
      <c r="B669" t="s">
        <v>52</v>
      </c>
      <c r="C669" t="s">
        <v>90</v>
      </c>
      <c r="D669" t="s">
        <v>27</v>
      </c>
      <c r="E669" s="13">
        <v>45323</v>
      </c>
      <c r="F669">
        <v>0</v>
      </c>
      <c r="G669" t="s">
        <v>130</v>
      </c>
    </row>
    <row r="670" spans="1:7" x14ac:dyDescent="0.3">
      <c r="A670">
        <v>2530200000</v>
      </c>
      <c r="B670" t="s">
        <v>52</v>
      </c>
      <c r="C670" t="s">
        <v>90</v>
      </c>
      <c r="D670" t="s">
        <v>27</v>
      </c>
      <c r="E670" s="13">
        <v>45352</v>
      </c>
      <c r="F670">
        <v>0</v>
      </c>
      <c r="G670" t="s">
        <v>130</v>
      </c>
    </row>
    <row r="671" spans="1:7" x14ac:dyDescent="0.3">
      <c r="A671">
        <v>2530200000</v>
      </c>
      <c r="B671" t="s">
        <v>52</v>
      </c>
      <c r="C671" t="s">
        <v>90</v>
      </c>
      <c r="D671" t="s">
        <v>27</v>
      </c>
      <c r="E671" s="13">
        <v>45383</v>
      </c>
      <c r="F671">
        <v>0</v>
      </c>
      <c r="G671" t="s">
        <v>130</v>
      </c>
    </row>
    <row r="672" spans="1:7" x14ac:dyDescent="0.3">
      <c r="A672">
        <v>2530200000</v>
      </c>
      <c r="B672" t="s">
        <v>52</v>
      </c>
      <c r="C672" t="s">
        <v>90</v>
      </c>
      <c r="D672" t="s">
        <v>27</v>
      </c>
      <c r="E672" s="13">
        <v>45413</v>
      </c>
      <c r="F672">
        <v>0</v>
      </c>
      <c r="G672" t="s">
        <v>130</v>
      </c>
    </row>
    <row r="673" spans="1:7" x14ac:dyDescent="0.3">
      <c r="A673">
        <v>2530200000</v>
      </c>
      <c r="B673" t="s">
        <v>52</v>
      </c>
      <c r="C673" t="s">
        <v>90</v>
      </c>
      <c r="D673" t="s">
        <v>27</v>
      </c>
      <c r="E673" s="13">
        <v>45444</v>
      </c>
      <c r="F673">
        <v>0</v>
      </c>
      <c r="G673" t="s">
        <v>130</v>
      </c>
    </row>
    <row r="674" spans="1:7" x14ac:dyDescent="0.3">
      <c r="A674">
        <v>2530200000</v>
      </c>
      <c r="B674" t="s">
        <v>52</v>
      </c>
      <c r="C674" t="s">
        <v>90</v>
      </c>
      <c r="D674" t="s">
        <v>27</v>
      </c>
      <c r="E674" s="13">
        <v>45474</v>
      </c>
      <c r="F674">
        <v>0</v>
      </c>
      <c r="G674" t="s">
        <v>130</v>
      </c>
    </row>
    <row r="675" spans="1:7" x14ac:dyDescent="0.3">
      <c r="A675">
        <v>2530200000</v>
      </c>
      <c r="B675" t="s">
        <v>52</v>
      </c>
      <c r="C675" t="s">
        <v>90</v>
      </c>
      <c r="D675" t="s">
        <v>27</v>
      </c>
      <c r="E675" s="13">
        <v>45505</v>
      </c>
      <c r="F675">
        <v>0</v>
      </c>
      <c r="G675" t="s">
        <v>130</v>
      </c>
    </row>
    <row r="676" spans="1:7" x14ac:dyDescent="0.3">
      <c r="A676">
        <v>2530200000</v>
      </c>
      <c r="B676" t="s">
        <v>52</v>
      </c>
      <c r="C676" t="s">
        <v>90</v>
      </c>
      <c r="D676" t="s">
        <v>27</v>
      </c>
      <c r="E676" s="13">
        <v>45536</v>
      </c>
      <c r="F676">
        <v>0</v>
      </c>
      <c r="G676" t="s">
        <v>130</v>
      </c>
    </row>
    <row r="677" spans="1:7" x14ac:dyDescent="0.3">
      <c r="A677">
        <v>2530200000</v>
      </c>
      <c r="B677" t="s">
        <v>52</v>
      </c>
      <c r="C677" t="s">
        <v>90</v>
      </c>
      <c r="D677" t="s">
        <v>27</v>
      </c>
      <c r="E677" s="13">
        <v>45566</v>
      </c>
      <c r="F677">
        <v>0</v>
      </c>
      <c r="G677" t="s">
        <v>130</v>
      </c>
    </row>
    <row r="678" spans="1:7" x14ac:dyDescent="0.3">
      <c r="A678">
        <v>2530200000</v>
      </c>
      <c r="B678" t="s">
        <v>52</v>
      </c>
      <c r="C678" t="s">
        <v>90</v>
      </c>
      <c r="D678" t="s">
        <v>27</v>
      </c>
      <c r="E678" s="13">
        <v>45597</v>
      </c>
      <c r="F678">
        <v>0</v>
      </c>
      <c r="G678" t="s">
        <v>130</v>
      </c>
    </row>
    <row r="679" spans="1:7" x14ac:dyDescent="0.3">
      <c r="A679">
        <v>2530200000</v>
      </c>
      <c r="B679" t="s">
        <v>52</v>
      </c>
      <c r="C679" t="s">
        <v>90</v>
      </c>
      <c r="D679" t="s">
        <v>27</v>
      </c>
      <c r="E679" s="13">
        <v>45627</v>
      </c>
      <c r="F679">
        <v>0</v>
      </c>
      <c r="G679" t="s">
        <v>130</v>
      </c>
    </row>
    <row r="680" spans="1:7" x14ac:dyDescent="0.3">
      <c r="A680">
        <v>2530200000</v>
      </c>
      <c r="B680" t="s">
        <v>52</v>
      </c>
      <c r="C680" t="s">
        <v>90</v>
      </c>
      <c r="D680" t="s">
        <v>27</v>
      </c>
      <c r="E680" s="13">
        <v>45658</v>
      </c>
      <c r="F680">
        <v>2778072.4982260298</v>
      </c>
      <c r="G680" t="s">
        <v>130</v>
      </c>
    </row>
    <row r="681" spans="1:7" x14ac:dyDescent="0.3">
      <c r="A681">
        <v>2530200000</v>
      </c>
      <c r="B681" t="s">
        <v>52</v>
      </c>
      <c r="C681" t="s">
        <v>90</v>
      </c>
      <c r="D681" t="s">
        <v>27</v>
      </c>
      <c r="E681" s="13">
        <v>45689</v>
      </c>
      <c r="F681">
        <v>3677847.77127065</v>
      </c>
      <c r="G681" t="s">
        <v>130</v>
      </c>
    </row>
    <row r="682" spans="1:7" x14ac:dyDescent="0.3">
      <c r="A682">
        <v>2530200000</v>
      </c>
      <c r="B682" t="s">
        <v>52</v>
      </c>
      <c r="C682" t="s">
        <v>90</v>
      </c>
      <c r="D682" t="s">
        <v>27</v>
      </c>
      <c r="E682" s="13">
        <v>45717</v>
      </c>
      <c r="F682">
        <v>4284234.87507213</v>
      </c>
      <c r="G682" t="s">
        <v>130</v>
      </c>
    </row>
    <row r="683" spans="1:7" x14ac:dyDescent="0.3">
      <c r="A683">
        <v>2530200000</v>
      </c>
      <c r="B683" t="s">
        <v>52</v>
      </c>
      <c r="C683" t="s">
        <v>90</v>
      </c>
      <c r="D683" t="s">
        <v>27</v>
      </c>
      <c r="E683" s="13">
        <v>45748</v>
      </c>
      <c r="F683">
        <v>3178369.0756239402</v>
      </c>
      <c r="G683" t="s">
        <v>130</v>
      </c>
    </row>
    <row r="684" spans="1:7" x14ac:dyDescent="0.3">
      <c r="A684">
        <v>2530200000</v>
      </c>
      <c r="B684" t="s">
        <v>52</v>
      </c>
      <c r="C684" t="s">
        <v>90</v>
      </c>
      <c r="D684" t="s">
        <v>27</v>
      </c>
      <c r="E684" s="13">
        <v>45778</v>
      </c>
      <c r="F684">
        <v>3385070.5480162799</v>
      </c>
      <c r="G684" t="s">
        <v>130</v>
      </c>
    </row>
    <row r="685" spans="1:7" x14ac:dyDescent="0.3">
      <c r="A685">
        <v>2530200000</v>
      </c>
      <c r="B685" t="s">
        <v>52</v>
      </c>
      <c r="C685" t="s">
        <v>90</v>
      </c>
      <c r="D685" t="s">
        <v>27</v>
      </c>
      <c r="E685" s="13">
        <v>45809</v>
      </c>
      <c r="F685">
        <v>3050680.7288258802</v>
      </c>
      <c r="G685" t="s">
        <v>130</v>
      </c>
    </row>
    <row r="686" spans="1:7" x14ac:dyDescent="0.3">
      <c r="A686">
        <v>2530300000</v>
      </c>
      <c r="B686" t="s">
        <v>54</v>
      </c>
      <c r="C686" t="s">
        <v>90</v>
      </c>
      <c r="D686" t="s">
        <v>27</v>
      </c>
      <c r="E686" s="13">
        <v>45292</v>
      </c>
      <c r="F686">
        <v>0</v>
      </c>
      <c r="G686" t="s">
        <v>131</v>
      </c>
    </row>
    <row r="687" spans="1:7" x14ac:dyDescent="0.3">
      <c r="A687">
        <v>2530300000</v>
      </c>
      <c r="B687" t="s">
        <v>54</v>
      </c>
      <c r="C687" t="s">
        <v>90</v>
      </c>
      <c r="D687" t="s">
        <v>27</v>
      </c>
      <c r="E687" s="13">
        <v>45323</v>
      </c>
      <c r="F687">
        <v>0</v>
      </c>
      <c r="G687" t="s">
        <v>131</v>
      </c>
    </row>
    <row r="688" spans="1:7" x14ac:dyDescent="0.3">
      <c r="A688">
        <v>2530300000</v>
      </c>
      <c r="B688" t="s">
        <v>54</v>
      </c>
      <c r="C688" t="s">
        <v>90</v>
      </c>
      <c r="D688" t="s">
        <v>27</v>
      </c>
      <c r="E688" s="13">
        <v>45352</v>
      </c>
      <c r="F688">
        <v>0</v>
      </c>
      <c r="G688" t="s">
        <v>131</v>
      </c>
    </row>
    <row r="689" spans="1:7" x14ac:dyDescent="0.3">
      <c r="A689">
        <v>2530300000</v>
      </c>
      <c r="B689" t="s">
        <v>54</v>
      </c>
      <c r="C689" t="s">
        <v>90</v>
      </c>
      <c r="D689" t="s">
        <v>27</v>
      </c>
      <c r="E689" s="13">
        <v>45383</v>
      </c>
      <c r="F689">
        <v>0</v>
      </c>
      <c r="G689" t="s">
        <v>131</v>
      </c>
    </row>
    <row r="690" spans="1:7" x14ac:dyDescent="0.3">
      <c r="A690">
        <v>2530300000</v>
      </c>
      <c r="B690" t="s">
        <v>54</v>
      </c>
      <c r="C690" t="s">
        <v>90</v>
      </c>
      <c r="D690" t="s">
        <v>27</v>
      </c>
      <c r="E690" s="13">
        <v>45413</v>
      </c>
      <c r="F690">
        <v>0</v>
      </c>
      <c r="G690" t="s">
        <v>131</v>
      </c>
    </row>
    <row r="691" spans="1:7" x14ac:dyDescent="0.3">
      <c r="A691">
        <v>2530300000</v>
      </c>
      <c r="B691" t="s">
        <v>54</v>
      </c>
      <c r="C691" t="s">
        <v>90</v>
      </c>
      <c r="D691" t="s">
        <v>27</v>
      </c>
      <c r="E691" s="13">
        <v>45444</v>
      </c>
      <c r="F691">
        <v>0</v>
      </c>
      <c r="G691" t="s">
        <v>131</v>
      </c>
    </row>
    <row r="692" spans="1:7" x14ac:dyDescent="0.3">
      <c r="A692">
        <v>2530300000</v>
      </c>
      <c r="B692" t="s">
        <v>54</v>
      </c>
      <c r="C692" t="s">
        <v>90</v>
      </c>
      <c r="D692" t="s">
        <v>27</v>
      </c>
      <c r="E692" s="13">
        <v>45474</v>
      </c>
      <c r="F692">
        <v>0</v>
      </c>
      <c r="G692" t="s">
        <v>131</v>
      </c>
    </row>
    <row r="693" spans="1:7" x14ac:dyDescent="0.3">
      <c r="A693">
        <v>2530300000</v>
      </c>
      <c r="B693" t="s">
        <v>54</v>
      </c>
      <c r="C693" t="s">
        <v>90</v>
      </c>
      <c r="D693" t="s">
        <v>27</v>
      </c>
      <c r="E693" s="13">
        <v>45505</v>
      </c>
      <c r="F693">
        <v>0</v>
      </c>
      <c r="G693" t="s">
        <v>131</v>
      </c>
    </row>
    <row r="694" spans="1:7" x14ac:dyDescent="0.3">
      <c r="A694">
        <v>2530300000</v>
      </c>
      <c r="B694" t="s">
        <v>54</v>
      </c>
      <c r="C694" t="s">
        <v>90</v>
      </c>
      <c r="D694" t="s">
        <v>27</v>
      </c>
      <c r="E694" s="13">
        <v>45536</v>
      </c>
      <c r="F694">
        <v>0</v>
      </c>
      <c r="G694" t="s">
        <v>131</v>
      </c>
    </row>
    <row r="695" spans="1:7" x14ac:dyDescent="0.3">
      <c r="A695">
        <v>2530300000</v>
      </c>
      <c r="B695" t="s">
        <v>54</v>
      </c>
      <c r="C695" t="s">
        <v>90</v>
      </c>
      <c r="D695" t="s">
        <v>27</v>
      </c>
      <c r="E695" s="13">
        <v>45566</v>
      </c>
      <c r="F695">
        <v>0</v>
      </c>
      <c r="G695" t="s">
        <v>131</v>
      </c>
    </row>
    <row r="696" spans="1:7" x14ac:dyDescent="0.3">
      <c r="A696">
        <v>2530300000</v>
      </c>
      <c r="B696" t="s">
        <v>54</v>
      </c>
      <c r="C696" t="s">
        <v>90</v>
      </c>
      <c r="D696" t="s">
        <v>27</v>
      </c>
      <c r="E696" s="13">
        <v>45597</v>
      </c>
      <c r="F696">
        <v>0</v>
      </c>
      <c r="G696" t="s">
        <v>131</v>
      </c>
    </row>
    <row r="697" spans="1:7" x14ac:dyDescent="0.3">
      <c r="A697">
        <v>2530300000</v>
      </c>
      <c r="B697" t="s">
        <v>54</v>
      </c>
      <c r="C697" t="s">
        <v>90</v>
      </c>
      <c r="D697" t="s">
        <v>27</v>
      </c>
      <c r="E697" s="13">
        <v>45627</v>
      </c>
      <c r="F697">
        <v>0</v>
      </c>
      <c r="G697" t="s">
        <v>131</v>
      </c>
    </row>
    <row r="698" spans="1:7" x14ac:dyDescent="0.3">
      <c r="A698">
        <v>2530300000</v>
      </c>
      <c r="B698" t="s">
        <v>54</v>
      </c>
      <c r="C698" t="s">
        <v>90</v>
      </c>
      <c r="D698" t="s">
        <v>27</v>
      </c>
      <c r="E698" s="13">
        <v>45658</v>
      </c>
      <c r="F698">
        <v>156074.88800867199</v>
      </c>
      <c r="G698" t="s">
        <v>131</v>
      </c>
    </row>
    <row r="699" spans="1:7" x14ac:dyDescent="0.3">
      <c r="A699">
        <v>2530300000</v>
      </c>
      <c r="B699" t="s">
        <v>54</v>
      </c>
      <c r="C699" t="s">
        <v>90</v>
      </c>
      <c r="D699" t="s">
        <v>27</v>
      </c>
      <c r="E699" s="13">
        <v>45689</v>
      </c>
      <c r="F699">
        <v>140392.533124126</v>
      </c>
      <c r="G699" t="s">
        <v>131</v>
      </c>
    </row>
    <row r="700" spans="1:7" x14ac:dyDescent="0.3">
      <c r="A700">
        <v>2530300000</v>
      </c>
      <c r="B700" t="s">
        <v>54</v>
      </c>
      <c r="C700" t="s">
        <v>90</v>
      </c>
      <c r="D700" t="s">
        <v>27</v>
      </c>
      <c r="E700" s="13">
        <v>45717</v>
      </c>
      <c r="F700">
        <v>180733.35611056001</v>
      </c>
      <c r="G700" t="s">
        <v>131</v>
      </c>
    </row>
    <row r="701" spans="1:7" x14ac:dyDescent="0.3">
      <c r="A701">
        <v>2530300000</v>
      </c>
      <c r="B701" t="s">
        <v>54</v>
      </c>
      <c r="C701" t="s">
        <v>90</v>
      </c>
      <c r="D701" t="s">
        <v>27</v>
      </c>
      <c r="E701" s="13">
        <v>45748</v>
      </c>
      <c r="F701">
        <v>163355.03418914301</v>
      </c>
      <c r="G701" t="s">
        <v>131</v>
      </c>
    </row>
    <row r="702" spans="1:7" x14ac:dyDescent="0.3">
      <c r="A702">
        <v>2530300000</v>
      </c>
      <c r="B702" t="s">
        <v>54</v>
      </c>
      <c r="C702" t="s">
        <v>90</v>
      </c>
      <c r="D702" t="s">
        <v>27</v>
      </c>
      <c r="E702" s="13">
        <v>45778</v>
      </c>
      <c r="F702">
        <v>185825.34447021401</v>
      </c>
      <c r="G702" t="s">
        <v>131</v>
      </c>
    </row>
    <row r="703" spans="1:7" x14ac:dyDescent="0.3">
      <c r="A703">
        <v>2530300000</v>
      </c>
      <c r="B703" t="s">
        <v>54</v>
      </c>
      <c r="C703" t="s">
        <v>90</v>
      </c>
      <c r="D703" t="s">
        <v>27</v>
      </c>
      <c r="E703" s="13">
        <v>45809</v>
      </c>
      <c r="F703">
        <v>148540.53177824599</v>
      </c>
      <c r="G703" t="s">
        <v>131</v>
      </c>
    </row>
    <row r="704" spans="1:7" x14ac:dyDescent="0.3">
      <c r="A704">
        <v>2400210100</v>
      </c>
      <c r="B704" t="s">
        <v>48</v>
      </c>
      <c r="C704" t="s">
        <v>91</v>
      </c>
      <c r="D704" t="s">
        <v>18</v>
      </c>
      <c r="E704" s="13">
        <v>45292</v>
      </c>
      <c r="F704">
        <v>0</v>
      </c>
      <c r="G704" t="s">
        <v>132</v>
      </c>
    </row>
    <row r="705" spans="1:7" x14ac:dyDescent="0.3">
      <c r="A705">
        <v>2400210100</v>
      </c>
      <c r="B705" t="s">
        <v>48</v>
      </c>
      <c r="C705" t="s">
        <v>91</v>
      </c>
      <c r="D705" t="s">
        <v>18</v>
      </c>
      <c r="E705" s="13">
        <v>45323</v>
      </c>
      <c r="F705">
        <v>0</v>
      </c>
      <c r="G705" t="s">
        <v>132</v>
      </c>
    </row>
    <row r="706" spans="1:7" x14ac:dyDescent="0.3">
      <c r="A706">
        <v>2400210100</v>
      </c>
      <c r="B706" t="s">
        <v>48</v>
      </c>
      <c r="C706" t="s">
        <v>91</v>
      </c>
      <c r="D706" t="s">
        <v>18</v>
      </c>
      <c r="E706" s="13">
        <v>45352</v>
      </c>
      <c r="F706">
        <v>0</v>
      </c>
      <c r="G706" t="s">
        <v>132</v>
      </c>
    </row>
    <row r="707" spans="1:7" x14ac:dyDescent="0.3">
      <c r="A707">
        <v>2400210100</v>
      </c>
      <c r="B707" t="s">
        <v>48</v>
      </c>
      <c r="C707" t="s">
        <v>91</v>
      </c>
      <c r="D707" t="s">
        <v>18</v>
      </c>
      <c r="E707" s="13">
        <v>45383</v>
      </c>
      <c r="F707">
        <v>0</v>
      </c>
      <c r="G707" t="s">
        <v>132</v>
      </c>
    </row>
    <row r="708" spans="1:7" x14ac:dyDescent="0.3">
      <c r="A708">
        <v>2400210100</v>
      </c>
      <c r="B708" t="s">
        <v>48</v>
      </c>
      <c r="C708" t="s">
        <v>91</v>
      </c>
      <c r="D708" t="s">
        <v>18</v>
      </c>
      <c r="E708" s="13">
        <v>45413</v>
      </c>
      <c r="F708">
        <v>0</v>
      </c>
      <c r="G708" t="s">
        <v>132</v>
      </c>
    </row>
    <row r="709" spans="1:7" x14ac:dyDescent="0.3">
      <c r="A709">
        <v>2400210100</v>
      </c>
      <c r="B709" t="s">
        <v>48</v>
      </c>
      <c r="C709" t="s">
        <v>91</v>
      </c>
      <c r="D709" t="s">
        <v>18</v>
      </c>
      <c r="E709" s="13">
        <v>45444</v>
      </c>
      <c r="F709">
        <v>0</v>
      </c>
      <c r="G709" t="s">
        <v>132</v>
      </c>
    </row>
    <row r="710" spans="1:7" x14ac:dyDescent="0.3">
      <c r="A710">
        <v>2400210100</v>
      </c>
      <c r="B710" t="s">
        <v>48</v>
      </c>
      <c r="C710" t="s">
        <v>91</v>
      </c>
      <c r="D710" t="s">
        <v>18</v>
      </c>
      <c r="E710" s="13">
        <v>45474</v>
      </c>
      <c r="F710">
        <v>0</v>
      </c>
      <c r="G710" t="s">
        <v>132</v>
      </c>
    </row>
    <row r="711" spans="1:7" x14ac:dyDescent="0.3">
      <c r="A711">
        <v>2400210100</v>
      </c>
      <c r="B711" t="s">
        <v>48</v>
      </c>
      <c r="C711" t="s">
        <v>91</v>
      </c>
      <c r="D711" t="s">
        <v>18</v>
      </c>
      <c r="E711" s="13">
        <v>45505</v>
      </c>
      <c r="F711">
        <v>0</v>
      </c>
      <c r="G711" t="s">
        <v>132</v>
      </c>
    </row>
    <row r="712" spans="1:7" x14ac:dyDescent="0.3">
      <c r="A712">
        <v>2400210100</v>
      </c>
      <c r="B712" t="s">
        <v>48</v>
      </c>
      <c r="C712" t="s">
        <v>91</v>
      </c>
      <c r="D712" t="s">
        <v>18</v>
      </c>
      <c r="E712" s="13">
        <v>45536</v>
      </c>
      <c r="F712">
        <v>0</v>
      </c>
      <c r="G712" t="s">
        <v>132</v>
      </c>
    </row>
    <row r="713" spans="1:7" x14ac:dyDescent="0.3">
      <c r="A713">
        <v>2400210100</v>
      </c>
      <c r="B713" t="s">
        <v>48</v>
      </c>
      <c r="C713" t="s">
        <v>91</v>
      </c>
      <c r="D713" t="s">
        <v>18</v>
      </c>
      <c r="E713" s="13">
        <v>45566</v>
      </c>
      <c r="F713">
        <v>0</v>
      </c>
      <c r="G713" t="s">
        <v>132</v>
      </c>
    </row>
    <row r="714" spans="1:7" x14ac:dyDescent="0.3">
      <c r="A714">
        <v>2400210100</v>
      </c>
      <c r="B714" t="s">
        <v>48</v>
      </c>
      <c r="C714" t="s">
        <v>91</v>
      </c>
      <c r="D714" t="s">
        <v>18</v>
      </c>
      <c r="E714" s="13">
        <v>45597</v>
      </c>
      <c r="F714">
        <v>0</v>
      </c>
      <c r="G714" t="s">
        <v>132</v>
      </c>
    </row>
    <row r="715" spans="1:7" x14ac:dyDescent="0.3">
      <c r="A715">
        <v>2400210100</v>
      </c>
      <c r="B715" t="s">
        <v>48</v>
      </c>
      <c r="C715" t="s">
        <v>91</v>
      </c>
      <c r="D715" t="s">
        <v>18</v>
      </c>
      <c r="E715" s="13">
        <v>45627</v>
      </c>
      <c r="F715">
        <v>0</v>
      </c>
      <c r="G715" t="s">
        <v>132</v>
      </c>
    </row>
    <row r="716" spans="1:7" x14ac:dyDescent="0.3">
      <c r="A716">
        <v>2400210100</v>
      </c>
      <c r="B716" t="s">
        <v>48</v>
      </c>
      <c r="C716" t="s">
        <v>91</v>
      </c>
      <c r="D716" t="s">
        <v>18</v>
      </c>
      <c r="E716" s="13">
        <v>45658</v>
      </c>
      <c r="F716">
        <v>1542025.3909785899</v>
      </c>
      <c r="G716" t="s">
        <v>132</v>
      </c>
    </row>
    <row r="717" spans="1:7" x14ac:dyDescent="0.3">
      <c r="A717">
        <v>2400210100</v>
      </c>
      <c r="B717" t="s">
        <v>48</v>
      </c>
      <c r="C717" t="s">
        <v>91</v>
      </c>
      <c r="D717" t="s">
        <v>18</v>
      </c>
      <c r="E717" s="13">
        <v>45689</v>
      </c>
      <c r="F717">
        <v>1561231.0370585199</v>
      </c>
      <c r="G717" t="s">
        <v>132</v>
      </c>
    </row>
    <row r="718" spans="1:7" x14ac:dyDescent="0.3">
      <c r="A718">
        <v>2400210100</v>
      </c>
      <c r="B718" t="s">
        <v>48</v>
      </c>
      <c r="C718" t="s">
        <v>91</v>
      </c>
      <c r="D718" t="s">
        <v>18</v>
      </c>
      <c r="E718" s="13">
        <v>45717</v>
      </c>
      <c r="F718">
        <v>1543421.39170613</v>
      </c>
      <c r="G718" t="s">
        <v>132</v>
      </c>
    </row>
    <row r="719" spans="1:7" x14ac:dyDescent="0.3">
      <c r="A719">
        <v>2400210100</v>
      </c>
      <c r="B719" t="s">
        <v>48</v>
      </c>
      <c r="C719" t="s">
        <v>91</v>
      </c>
      <c r="D719" t="s">
        <v>18</v>
      </c>
      <c r="E719" s="13">
        <v>45748</v>
      </c>
      <c r="F719">
        <v>1559364.2245044301</v>
      </c>
      <c r="G719" t="s">
        <v>132</v>
      </c>
    </row>
    <row r="720" spans="1:7" x14ac:dyDescent="0.3">
      <c r="A720">
        <v>2400210100</v>
      </c>
      <c r="B720" t="s">
        <v>48</v>
      </c>
      <c r="C720" t="s">
        <v>91</v>
      </c>
      <c r="D720" t="s">
        <v>18</v>
      </c>
      <c r="E720" s="13">
        <v>45778</v>
      </c>
      <c r="F720">
        <v>1549069.95596109</v>
      </c>
      <c r="G720" t="s">
        <v>132</v>
      </c>
    </row>
    <row r="721" spans="1:7" x14ac:dyDescent="0.3">
      <c r="A721">
        <v>2400210100</v>
      </c>
      <c r="B721" t="s">
        <v>48</v>
      </c>
      <c r="C721" t="s">
        <v>91</v>
      </c>
      <c r="D721" t="s">
        <v>18</v>
      </c>
      <c r="E721" s="13">
        <v>45809</v>
      </c>
      <c r="F721">
        <v>1552312.41086801</v>
      </c>
      <c r="G721" t="s">
        <v>132</v>
      </c>
    </row>
    <row r="722" spans="1:7" x14ac:dyDescent="0.3">
      <c r="A722">
        <v>2400210200</v>
      </c>
      <c r="B722" t="s">
        <v>30</v>
      </c>
      <c r="C722" t="s">
        <v>91</v>
      </c>
      <c r="D722" t="s">
        <v>18</v>
      </c>
      <c r="E722" s="13">
        <v>45292</v>
      </c>
      <c r="F722">
        <v>0</v>
      </c>
      <c r="G722" t="s">
        <v>133</v>
      </c>
    </row>
    <row r="723" spans="1:7" x14ac:dyDescent="0.3">
      <c r="A723">
        <v>2400210200</v>
      </c>
      <c r="B723" t="s">
        <v>30</v>
      </c>
      <c r="C723" t="s">
        <v>91</v>
      </c>
      <c r="D723" t="s">
        <v>18</v>
      </c>
      <c r="E723" s="13">
        <v>45323</v>
      </c>
      <c r="F723">
        <v>0</v>
      </c>
      <c r="G723" t="s">
        <v>133</v>
      </c>
    </row>
    <row r="724" spans="1:7" x14ac:dyDescent="0.3">
      <c r="A724">
        <v>2400210200</v>
      </c>
      <c r="B724" t="s">
        <v>30</v>
      </c>
      <c r="C724" t="s">
        <v>91</v>
      </c>
      <c r="D724" t="s">
        <v>18</v>
      </c>
      <c r="E724" s="13">
        <v>45352</v>
      </c>
      <c r="F724">
        <v>0</v>
      </c>
      <c r="G724" t="s">
        <v>133</v>
      </c>
    </row>
    <row r="725" spans="1:7" x14ac:dyDescent="0.3">
      <c r="A725">
        <v>2400210200</v>
      </c>
      <c r="B725" t="s">
        <v>30</v>
      </c>
      <c r="C725" t="s">
        <v>91</v>
      </c>
      <c r="D725" t="s">
        <v>18</v>
      </c>
      <c r="E725" s="13">
        <v>45383</v>
      </c>
      <c r="F725">
        <v>0</v>
      </c>
      <c r="G725" t="s">
        <v>133</v>
      </c>
    </row>
    <row r="726" spans="1:7" x14ac:dyDescent="0.3">
      <c r="A726">
        <v>2400210200</v>
      </c>
      <c r="B726" t="s">
        <v>30</v>
      </c>
      <c r="C726" t="s">
        <v>91</v>
      </c>
      <c r="D726" t="s">
        <v>18</v>
      </c>
      <c r="E726" s="13">
        <v>45413</v>
      </c>
      <c r="F726">
        <v>0</v>
      </c>
      <c r="G726" t="s">
        <v>133</v>
      </c>
    </row>
    <row r="727" spans="1:7" x14ac:dyDescent="0.3">
      <c r="A727">
        <v>2400210200</v>
      </c>
      <c r="B727" t="s">
        <v>30</v>
      </c>
      <c r="C727" t="s">
        <v>91</v>
      </c>
      <c r="D727" t="s">
        <v>18</v>
      </c>
      <c r="E727" s="13">
        <v>45444</v>
      </c>
      <c r="F727">
        <v>0</v>
      </c>
      <c r="G727" t="s">
        <v>133</v>
      </c>
    </row>
    <row r="728" spans="1:7" x14ac:dyDescent="0.3">
      <c r="A728">
        <v>2400210200</v>
      </c>
      <c r="B728" t="s">
        <v>30</v>
      </c>
      <c r="C728" t="s">
        <v>91</v>
      </c>
      <c r="D728" t="s">
        <v>18</v>
      </c>
      <c r="E728" s="13">
        <v>45474</v>
      </c>
      <c r="F728">
        <v>0</v>
      </c>
      <c r="G728" t="s">
        <v>133</v>
      </c>
    </row>
    <row r="729" spans="1:7" x14ac:dyDescent="0.3">
      <c r="A729">
        <v>2400210200</v>
      </c>
      <c r="B729" t="s">
        <v>30</v>
      </c>
      <c r="C729" t="s">
        <v>91</v>
      </c>
      <c r="D729" t="s">
        <v>18</v>
      </c>
      <c r="E729" s="13">
        <v>45505</v>
      </c>
      <c r="F729">
        <v>0</v>
      </c>
      <c r="G729" t="s">
        <v>133</v>
      </c>
    </row>
    <row r="730" spans="1:7" x14ac:dyDescent="0.3">
      <c r="A730">
        <v>2400210200</v>
      </c>
      <c r="B730" t="s">
        <v>30</v>
      </c>
      <c r="C730" t="s">
        <v>91</v>
      </c>
      <c r="D730" t="s">
        <v>18</v>
      </c>
      <c r="E730" s="13">
        <v>45536</v>
      </c>
      <c r="F730">
        <v>0</v>
      </c>
      <c r="G730" t="s">
        <v>133</v>
      </c>
    </row>
    <row r="731" spans="1:7" x14ac:dyDescent="0.3">
      <c r="A731">
        <v>2400210200</v>
      </c>
      <c r="B731" t="s">
        <v>30</v>
      </c>
      <c r="C731" t="s">
        <v>91</v>
      </c>
      <c r="D731" t="s">
        <v>18</v>
      </c>
      <c r="E731" s="13">
        <v>45566</v>
      </c>
      <c r="F731">
        <v>0</v>
      </c>
      <c r="G731" t="s">
        <v>133</v>
      </c>
    </row>
    <row r="732" spans="1:7" x14ac:dyDescent="0.3">
      <c r="A732">
        <v>2400210200</v>
      </c>
      <c r="B732" t="s">
        <v>30</v>
      </c>
      <c r="C732" t="s">
        <v>91</v>
      </c>
      <c r="D732" t="s">
        <v>18</v>
      </c>
      <c r="E732" s="13">
        <v>45597</v>
      </c>
      <c r="F732">
        <v>0</v>
      </c>
      <c r="G732" t="s">
        <v>133</v>
      </c>
    </row>
    <row r="733" spans="1:7" x14ac:dyDescent="0.3">
      <c r="A733">
        <v>2400210200</v>
      </c>
      <c r="B733" t="s">
        <v>30</v>
      </c>
      <c r="C733" t="s">
        <v>91</v>
      </c>
      <c r="D733" t="s">
        <v>18</v>
      </c>
      <c r="E733" s="13">
        <v>45627</v>
      </c>
      <c r="F733">
        <v>0</v>
      </c>
      <c r="G733" t="s">
        <v>133</v>
      </c>
    </row>
    <row r="734" spans="1:7" x14ac:dyDescent="0.3">
      <c r="A734">
        <v>2400210200</v>
      </c>
      <c r="B734" t="s">
        <v>30</v>
      </c>
      <c r="C734" t="s">
        <v>91</v>
      </c>
      <c r="D734" t="s">
        <v>18</v>
      </c>
      <c r="E734" s="13">
        <v>45658</v>
      </c>
      <c r="F734">
        <v>415.55055742033699</v>
      </c>
      <c r="G734" t="s">
        <v>133</v>
      </c>
    </row>
    <row r="735" spans="1:7" x14ac:dyDescent="0.3">
      <c r="A735">
        <v>2400210200</v>
      </c>
      <c r="B735" t="s">
        <v>30</v>
      </c>
      <c r="C735" t="s">
        <v>91</v>
      </c>
      <c r="D735" t="s">
        <v>18</v>
      </c>
      <c r="E735" s="13">
        <v>45689</v>
      </c>
      <c r="F735">
        <v>434.614188572329</v>
      </c>
      <c r="G735" t="s">
        <v>133</v>
      </c>
    </row>
    <row r="736" spans="1:7" x14ac:dyDescent="0.3">
      <c r="A736">
        <v>2400210200</v>
      </c>
      <c r="B736" t="s">
        <v>30</v>
      </c>
      <c r="C736" t="s">
        <v>91</v>
      </c>
      <c r="D736" t="s">
        <v>18</v>
      </c>
      <c r="E736" s="13">
        <v>45717</v>
      </c>
      <c r="F736">
        <v>20457.1605350963</v>
      </c>
      <c r="G736" t="s">
        <v>133</v>
      </c>
    </row>
    <row r="737" spans="1:7" x14ac:dyDescent="0.3">
      <c r="A737">
        <v>2400210200</v>
      </c>
      <c r="B737" t="s">
        <v>30</v>
      </c>
      <c r="C737" t="s">
        <v>91</v>
      </c>
      <c r="D737" t="s">
        <v>18</v>
      </c>
      <c r="E737" s="13">
        <v>45748</v>
      </c>
      <c r="F737">
        <v>769.53963193034701</v>
      </c>
      <c r="G737" t="s">
        <v>133</v>
      </c>
    </row>
    <row r="738" spans="1:7" x14ac:dyDescent="0.3">
      <c r="A738">
        <v>2400210200</v>
      </c>
      <c r="B738" t="s">
        <v>30</v>
      </c>
      <c r="C738" t="s">
        <v>91</v>
      </c>
      <c r="D738" t="s">
        <v>18</v>
      </c>
      <c r="E738" s="13">
        <v>45778</v>
      </c>
      <c r="F738">
        <v>580.92697704545799</v>
      </c>
      <c r="G738" t="s">
        <v>133</v>
      </c>
    </row>
    <row r="739" spans="1:7" x14ac:dyDescent="0.3">
      <c r="A739">
        <v>2400210200</v>
      </c>
      <c r="B739" t="s">
        <v>30</v>
      </c>
      <c r="C739" t="s">
        <v>91</v>
      </c>
      <c r="D739" t="s">
        <v>18</v>
      </c>
      <c r="E739" s="13">
        <v>45809</v>
      </c>
      <c r="F739">
        <v>8439.6192744227792</v>
      </c>
      <c r="G739" t="s">
        <v>133</v>
      </c>
    </row>
    <row r="740" spans="1:7" x14ac:dyDescent="0.3">
      <c r="A740">
        <v>2400210120</v>
      </c>
      <c r="B740" t="s">
        <v>31</v>
      </c>
      <c r="C740" t="s">
        <v>91</v>
      </c>
      <c r="D740" t="s">
        <v>18</v>
      </c>
      <c r="E740" s="13">
        <v>45292</v>
      </c>
      <c r="F740">
        <v>0</v>
      </c>
      <c r="G740" t="s">
        <v>134</v>
      </c>
    </row>
    <row r="741" spans="1:7" x14ac:dyDescent="0.3">
      <c r="A741">
        <v>2400210120</v>
      </c>
      <c r="B741" t="s">
        <v>31</v>
      </c>
      <c r="C741" t="s">
        <v>91</v>
      </c>
      <c r="D741" t="s">
        <v>18</v>
      </c>
      <c r="E741" s="13">
        <v>45323</v>
      </c>
      <c r="F741">
        <v>0</v>
      </c>
      <c r="G741" t="s">
        <v>134</v>
      </c>
    </row>
    <row r="742" spans="1:7" x14ac:dyDescent="0.3">
      <c r="A742">
        <v>2400210120</v>
      </c>
      <c r="B742" t="s">
        <v>31</v>
      </c>
      <c r="C742" t="s">
        <v>91</v>
      </c>
      <c r="D742" t="s">
        <v>18</v>
      </c>
      <c r="E742" s="13">
        <v>45352</v>
      </c>
      <c r="F742">
        <v>0</v>
      </c>
      <c r="G742" t="s">
        <v>134</v>
      </c>
    </row>
    <row r="743" spans="1:7" x14ac:dyDescent="0.3">
      <c r="A743">
        <v>2400210120</v>
      </c>
      <c r="B743" t="s">
        <v>31</v>
      </c>
      <c r="C743" t="s">
        <v>91</v>
      </c>
      <c r="D743" t="s">
        <v>18</v>
      </c>
      <c r="E743" s="13">
        <v>45383</v>
      </c>
      <c r="F743">
        <v>0</v>
      </c>
      <c r="G743" t="s">
        <v>134</v>
      </c>
    </row>
    <row r="744" spans="1:7" x14ac:dyDescent="0.3">
      <c r="A744">
        <v>2400210120</v>
      </c>
      <c r="B744" t="s">
        <v>31</v>
      </c>
      <c r="C744" t="s">
        <v>91</v>
      </c>
      <c r="D744" t="s">
        <v>18</v>
      </c>
      <c r="E744" s="13">
        <v>45413</v>
      </c>
      <c r="F744">
        <v>0</v>
      </c>
      <c r="G744" t="s">
        <v>134</v>
      </c>
    </row>
    <row r="745" spans="1:7" x14ac:dyDescent="0.3">
      <c r="A745">
        <v>2400210120</v>
      </c>
      <c r="B745" t="s">
        <v>31</v>
      </c>
      <c r="C745" t="s">
        <v>91</v>
      </c>
      <c r="D745" t="s">
        <v>18</v>
      </c>
      <c r="E745" s="13">
        <v>45444</v>
      </c>
      <c r="F745">
        <v>0</v>
      </c>
      <c r="G745" t="s">
        <v>134</v>
      </c>
    </row>
    <row r="746" spans="1:7" x14ac:dyDescent="0.3">
      <c r="A746">
        <v>2400210120</v>
      </c>
      <c r="B746" t="s">
        <v>31</v>
      </c>
      <c r="C746" t="s">
        <v>91</v>
      </c>
      <c r="D746" t="s">
        <v>18</v>
      </c>
      <c r="E746" s="13">
        <v>45474</v>
      </c>
      <c r="F746">
        <v>0</v>
      </c>
      <c r="G746" t="s">
        <v>134</v>
      </c>
    </row>
    <row r="747" spans="1:7" x14ac:dyDescent="0.3">
      <c r="A747">
        <v>2400210120</v>
      </c>
      <c r="B747" t="s">
        <v>31</v>
      </c>
      <c r="C747" t="s">
        <v>91</v>
      </c>
      <c r="D747" t="s">
        <v>18</v>
      </c>
      <c r="E747" s="13">
        <v>45505</v>
      </c>
      <c r="F747">
        <v>0</v>
      </c>
      <c r="G747" t="s">
        <v>134</v>
      </c>
    </row>
    <row r="748" spans="1:7" x14ac:dyDescent="0.3">
      <c r="A748">
        <v>2400210120</v>
      </c>
      <c r="B748" t="s">
        <v>31</v>
      </c>
      <c r="C748" t="s">
        <v>91</v>
      </c>
      <c r="D748" t="s">
        <v>18</v>
      </c>
      <c r="E748" s="13">
        <v>45536</v>
      </c>
      <c r="F748">
        <v>0</v>
      </c>
      <c r="G748" t="s">
        <v>134</v>
      </c>
    </row>
    <row r="749" spans="1:7" x14ac:dyDescent="0.3">
      <c r="A749">
        <v>2400210120</v>
      </c>
      <c r="B749" t="s">
        <v>31</v>
      </c>
      <c r="C749" t="s">
        <v>91</v>
      </c>
      <c r="D749" t="s">
        <v>18</v>
      </c>
      <c r="E749" s="13">
        <v>45566</v>
      </c>
      <c r="F749">
        <v>0</v>
      </c>
      <c r="G749" t="s">
        <v>134</v>
      </c>
    </row>
    <row r="750" spans="1:7" x14ac:dyDescent="0.3">
      <c r="A750">
        <v>2400210120</v>
      </c>
      <c r="B750" t="s">
        <v>31</v>
      </c>
      <c r="C750" t="s">
        <v>91</v>
      </c>
      <c r="D750" t="s">
        <v>18</v>
      </c>
      <c r="E750" s="13">
        <v>45597</v>
      </c>
      <c r="F750">
        <v>0</v>
      </c>
      <c r="G750" t="s">
        <v>134</v>
      </c>
    </row>
    <row r="751" spans="1:7" x14ac:dyDescent="0.3">
      <c r="A751">
        <v>2400210120</v>
      </c>
      <c r="B751" t="s">
        <v>31</v>
      </c>
      <c r="C751" t="s">
        <v>91</v>
      </c>
      <c r="D751" t="s">
        <v>18</v>
      </c>
      <c r="E751" s="13">
        <v>45627</v>
      </c>
      <c r="F751">
        <v>0</v>
      </c>
      <c r="G751" t="s">
        <v>134</v>
      </c>
    </row>
    <row r="752" spans="1:7" x14ac:dyDescent="0.3">
      <c r="A752">
        <v>2400210120</v>
      </c>
      <c r="B752" t="s">
        <v>31</v>
      </c>
      <c r="C752" t="s">
        <v>91</v>
      </c>
      <c r="D752" t="s">
        <v>18</v>
      </c>
      <c r="E752" s="13">
        <v>45658</v>
      </c>
      <c r="F752">
        <v>31278.816368823998</v>
      </c>
      <c r="G752" t="s">
        <v>134</v>
      </c>
    </row>
    <row r="753" spans="1:7" x14ac:dyDescent="0.3">
      <c r="A753">
        <v>2400210120</v>
      </c>
      <c r="B753" t="s">
        <v>31</v>
      </c>
      <c r="C753" t="s">
        <v>91</v>
      </c>
      <c r="D753" t="s">
        <v>18</v>
      </c>
      <c r="E753" s="13">
        <v>45689</v>
      </c>
      <c r="F753">
        <v>31668.3883437689</v>
      </c>
      <c r="G753" t="s">
        <v>134</v>
      </c>
    </row>
    <row r="754" spans="1:7" x14ac:dyDescent="0.3">
      <c r="A754">
        <v>2400210120</v>
      </c>
      <c r="B754" t="s">
        <v>31</v>
      </c>
      <c r="C754" t="s">
        <v>91</v>
      </c>
      <c r="D754" t="s">
        <v>18</v>
      </c>
      <c r="E754" s="13">
        <v>45717</v>
      </c>
      <c r="F754">
        <v>31307.133185565599</v>
      </c>
      <c r="G754" t="s">
        <v>134</v>
      </c>
    </row>
    <row r="755" spans="1:7" x14ac:dyDescent="0.3">
      <c r="A755">
        <v>2400210120</v>
      </c>
      <c r="B755" t="s">
        <v>31</v>
      </c>
      <c r="C755" t="s">
        <v>91</v>
      </c>
      <c r="D755" t="s">
        <v>18</v>
      </c>
      <c r="E755" s="13">
        <v>45748</v>
      </c>
      <c r="F755">
        <v>31630.521465949601</v>
      </c>
      <c r="G755" t="s">
        <v>134</v>
      </c>
    </row>
    <row r="756" spans="1:7" x14ac:dyDescent="0.3">
      <c r="A756">
        <v>2400210120</v>
      </c>
      <c r="B756" t="s">
        <v>31</v>
      </c>
      <c r="C756" t="s">
        <v>91</v>
      </c>
      <c r="D756" t="s">
        <v>18</v>
      </c>
      <c r="E756" s="13">
        <v>45778</v>
      </c>
      <c r="F756">
        <v>31421.710030481499</v>
      </c>
      <c r="G756" t="s">
        <v>134</v>
      </c>
    </row>
    <row r="757" spans="1:7" x14ac:dyDescent="0.3">
      <c r="A757">
        <v>2400210120</v>
      </c>
      <c r="B757" t="s">
        <v>31</v>
      </c>
      <c r="C757" t="s">
        <v>91</v>
      </c>
      <c r="D757" t="s">
        <v>18</v>
      </c>
      <c r="E757" s="13">
        <v>45809</v>
      </c>
      <c r="F757">
        <v>31487.480770841099</v>
      </c>
      <c r="G757" t="s">
        <v>134</v>
      </c>
    </row>
    <row r="758" spans="1:7" x14ac:dyDescent="0.3">
      <c r="A758">
        <v>2546100100</v>
      </c>
      <c r="B758" t="s">
        <v>32</v>
      </c>
      <c r="C758" t="s">
        <v>91</v>
      </c>
      <c r="D758" t="s">
        <v>17</v>
      </c>
      <c r="E758" s="13">
        <v>45292</v>
      </c>
      <c r="F758">
        <v>0</v>
      </c>
      <c r="G758" t="s">
        <v>135</v>
      </c>
    </row>
    <row r="759" spans="1:7" x14ac:dyDescent="0.3">
      <c r="A759">
        <v>2546100100</v>
      </c>
      <c r="B759" t="s">
        <v>32</v>
      </c>
      <c r="C759" t="s">
        <v>91</v>
      </c>
      <c r="D759" t="s">
        <v>17</v>
      </c>
      <c r="E759" s="13">
        <v>45323</v>
      </c>
      <c r="F759">
        <v>0</v>
      </c>
      <c r="G759" t="s">
        <v>135</v>
      </c>
    </row>
    <row r="760" spans="1:7" x14ac:dyDescent="0.3">
      <c r="A760">
        <v>2546100100</v>
      </c>
      <c r="B760" t="s">
        <v>32</v>
      </c>
      <c r="C760" t="s">
        <v>91</v>
      </c>
      <c r="D760" t="s">
        <v>17</v>
      </c>
      <c r="E760" s="13">
        <v>45352</v>
      </c>
      <c r="F760">
        <v>0</v>
      </c>
      <c r="G760" t="s">
        <v>135</v>
      </c>
    </row>
    <row r="761" spans="1:7" x14ac:dyDescent="0.3">
      <c r="A761">
        <v>2546100100</v>
      </c>
      <c r="B761" t="s">
        <v>32</v>
      </c>
      <c r="C761" t="s">
        <v>91</v>
      </c>
      <c r="D761" t="s">
        <v>17</v>
      </c>
      <c r="E761" s="13">
        <v>45383</v>
      </c>
      <c r="F761">
        <v>0</v>
      </c>
      <c r="G761" t="s">
        <v>135</v>
      </c>
    </row>
    <row r="762" spans="1:7" x14ac:dyDescent="0.3">
      <c r="A762">
        <v>2546100100</v>
      </c>
      <c r="B762" t="s">
        <v>32</v>
      </c>
      <c r="C762" t="s">
        <v>91</v>
      </c>
      <c r="D762" t="s">
        <v>17</v>
      </c>
      <c r="E762" s="13">
        <v>45413</v>
      </c>
      <c r="F762">
        <v>0</v>
      </c>
      <c r="G762" t="s">
        <v>135</v>
      </c>
    </row>
    <row r="763" spans="1:7" x14ac:dyDescent="0.3">
      <c r="A763">
        <v>2546100100</v>
      </c>
      <c r="B763" t="s">
        <v>32</v>
      </c>
      <c r="C763" t="s">
        <v>91</v>
      </c>
      <c r="D763" t="s">
        <v>17</v>
      </c>
      <c r="E763" s="13">
        <v>45444</v>
      </c>
      <c r="F763">
        <v>0</v>
      </c>
      <c r="G763" t="s">
        <v>135</v>
      </c>
    </row>
    <row r="764" spans="1:7" x14ac:dyDescent="0.3">
      <c r="A764">
        <v>2546100100</v>
      </c>
      <c r="B764" t="s">
        <v>32</v>
      </c>
      <c r="C764" t="s">
        <v>91</v>
      </c>
      <c r="D764" t="s">
        <v>17</v>
      </c>
      <c r="E764" s="13">
        <v>45474</v>
      </c>
      <c r="F764">
        <v>0</v>
      </c>
      <c r="G764" t="s">
        <v>135</v>
      </c>
    </row>
    <row r="765" spans="1:7" x14ac:dyDescent="0.3">
      <c r="A765">
        <v>2546100100</v>
      </c>
      <c r="B765" t="s">
        <v>32</v>
      </c>
      <c r="C765" t="s">
        <v>91</v>
      </c>
      <c r="D765" t="s">
        <v>17</v>
      </c>
      <c r="E765" s="13">
        <v>45505</v>
      </c>
      <c r="F765">
        <v>0</v>
      </c>
      <c r="G765" t="s">
        <v>135</v>
      </c>
    </row>
    <row r="766" spans="1:7" x14ac:dyDescent="0.3">
      <c r="A766">
        <v>2546100100</v>
      </c>
      <c r="B766" t="s">
        <v>32</v>
      </c>
      <c r="C766" t="s">
        <v>91</v>
      </c>
      <c r="D766" t="s">
        <v>17</v>
      </c>
      <c r="E766" s="13">
        <v>45536</v>
      </c>
      <c r="F766">
        <v>0</v>
      </c>
      <c r="G766" t="s">
        <v>135</v>
      </c>
    </row>
    <row r="767" spans="1:7" x14ac:dyDescent="0.3">
      <c r="A767">
        <v>2546100100</v>
      </c>
      <c r="B767" t="s">
        <v>32</v>
      </c>
      <c r="C767" t="s">
        <v>91</v>
      </c>
      <c r="D767" t="s">
        <v>17</v>
      </c>
      <c r="E767" s="13">
        <v>45566</v>
      </c>
      <c r="F767">
        <v>0</v>
      </c>
      <c r="G767" t="s">
        <v>135</v>
      </c>
    </row>
    <row r="768" spans="1:7" x14ac:dyDescent="0.3">
      <c r="A768">
        <v>2546100100</v>
      </c>
      <c r="B768" t="s">
        <v>32</v>
      </c>
      <c r="C768" t="s">
        <v>91</v>
      </c>
      <c r="D768" t="s">
        <v>17</v>
      </c>
      <c r="E768" s="13">
        <v>45597</v>
      </c>
      <c r="F768">
        <v>0</v>
      </c>
      <c r="G768" t="s">
        <v>135</v>
      </c>
    </row>
    <row r="769" spans="1:7" x14ac:dyDescent="0.3">
      <c r="A769">
        <v>2546100100</v>
      </c>
      <c r="B769" t="s">
        <v>32</v>
      </c>
      <c r="C769" t="s">
        <v>91</v>
      </c>
      <c r="D769" t="s">
        <v>17</v>
      </c>
      <c r="E769" s="13">
        <v>45627</v>
      </c>
      <c r="F769">
        <v>0</v>
      </c>
      <c r="G769" t="s">
        <v>135</v>
      </c>
    </row>
    <row r="770" spans="1:7" x14ac:dyDescent="0.3">
      <c r="A770">
        <v>2546100100</v>
      </c>
      <c r="B770" t="s">
        <v>32</v>
      </c>
      <c r="C770" t="s">
        <v>91</v>
      </c>
      <c r="D770" t="s">
        <v>17</v>
      </c>
      <c r="E770" s="13">
        <v>45658</v>
      </c>
      <c r="F770">
        <v>359256.31929000001</v>
      </c>
      <c r="G770" t="s">
        <v>135</v>
      </c>
    </row>
    <row r="771" spans="1:7" x14ac:dyDescent="0.3">
      <c r="A771">
        <v>2546100100</v>
      </c>
      <c r="B771" t="s">
        <v>32</v>
      </c>
      <c r="C771" t="s">
        <v>91</v>
      </c>
      <c r="D771" t="s">
        <v>17</v>
      </c>
      <c r="E771" s="13">
        <v>45689</v>
      </c>
      <c r="F771">
        <v>369330.92676575598</v>
      </c>
      <c r="G771" t="s">
        <v>135</v>
      </c>
    </row>
    <row r="772" spans="1:7" x14ac:dyDescent="0.3">
      <c r="A772">
        <v>2546100100</v>
      </c>
      <c r="B772" t="s">
        <v>32</v>
      </c>
      <c r="C772" t="s">
        <v>91</v>
      </c>
      <c r="D772" t="s">
        <v>17</v>
      </c>
      <c r="E772" s="13">
        <v>45717</v>
      </c>
      <c r="F772">
        <v>425180.18966605898</v>
      </c>
      <c r="G772" t="s">
        <v>135</v>
      </c>
    </row>
    <row r="773" spans="1:7" x14ac:dyDescent="0.3">
      <c r="A773">
        <v>2546100100</v>
      </c>
      <c r="B773" t="s">
        <v>32</v>
      </c>
      <c r="C773" t="s">
        <v>91</v>
      </c>
      <c r="D773" t="s">
        <v>17</v>
      </c>
      <c r="E773" s="13">
        <v>45748</v>
      </c>
      <c r="F773">
        <v>358492.33783221903</v>
      </c>
      <c r="G773" t="s">
        <v>135</v>
      </c>
    </row>
    <row r="774" spans="1:7" x14ac:dyDescent="0.3">
      <c r="A774">
        <v>2546100100</v>
      </c>
      <c r="B774" t="s">
        <v>32</v>
      </c>
      <c r="C774" t="s">
        <v>91</v>
      </c>
      <c r="D774" t="s">
        <v>17</v>
      </c>
      <c r="E774" s="13">
        <v>45778</v>
      </c>
      <c r="F774">
        <v>303859.33126635099</v>
      </c>
      <c r="G774" t="s">
        <v>135</v>
      </c>
    </row>
    <row r="775" spans="1:7" x14ac:dyDescent="0.3">
      <c r="A775">
        <v>2546100100</v>
      </c>
      <c r="B775" t="s">
        <v>32</v>
      </c>
      <c r="C775" t="s">
        <v>91</v>
      </c>
      <c r="D775" t="s">
        <v>17</v>
      </c>
      <c r="E775" s="13">
        <v>45809</v>
      </c>
      <c r="F775">
        <v>286833.30015780003</v>
      </c>
      <c r="G775" t="s">
        <v>135</v>
      </c>
    </row>
    <row r="776" spans="1:7" x14ac:dyDescent="0.3">
      <c r="A776">
        <v>2544601400</v>
      </c>
      <c r="B776" t="s">
        <v>33</v>
      </c>
      <c r="C776" t="s">
        <v>91</v>
      </c>
      <c r="D776" t="s">
        <v>17</v>
      </c>
      <c r="E776" s="13">
        <v>45292</v>
      </c>
      <c r="F776">
        <v>0</v>
      </c>
      <c r="G776" t="s">
        <v>136</v>
      </c>
    </row>
    <row r="777" spans="1:7" x14ac:dyDescent="0.3">
      <c r="A777">
        <v>2544601400</v>
      </c>
      <c r="B777" t="s">
        <v>33</v>
      </c>
      <c r="C777" t="s">
        <v>91</v>
      </c>
      <c r="D777" t="s">
        <v>17</v>
      </c>
      <c r="E777" s="13">
        <v>45323</v>
      </c>
      <c r="F777">
        <v>0</v>
      </c>
      <c r="G777" t="s">
        <v>136</v>
      </c>
    </row>
    <row r="778" spans="1:7" x14ac:dyDescent="0.3">
      <c r="A778">
        <v>2544601400</v>
      </c>
      <c r="B778" t="s">
        <v>33</v>
      </c>
      <c r="C778" t="s">
        <v>91</v>
      </c>
      <c r="D778" t="s">
        <v>17</v>
      </c>
      <c r="E778" s="13">
        <v>45352</v>
      </c>
      <c r="F778">
        <v>0</v>
      </c>
      <c r="G778" t="s">
        <v>136</v>
      </c>
    </row>
    <row r="779" spans="1:7" x14ac:dyDescent="0.3">
      <c r="A779">
        <v>2544601400</v>
      </c>
      <c r="B779" t="s">
        <v>33</v>
      </c>
      <c r="C779" t="s">
        <v>91</v>
      </c>
      <c r="D779" t="s">
        <v>17</v>
      </c>
      <c r="E779" s="13">
        <v>45383</v>
      </c>
      <c r="F779">
        <v>0</v>
      </c>
      <c r="G779" t="s">
        <v>136</v>
      </c>
    </row>
    <row r="780" spans="1:7" x14ac:dyDescent="0.3">
      <c r="A780">
        <v>2544601400</v>
      </c>
      <c r="B780" t="s">
        <v>33</v>
      </c>
      <c r="C780" t="s">
        <v>91</v>
      </c>
      <c r="D780" t="s">
        <v>17</v>
      </c>
      <c r="E780" s="13">
        <v>45413</v>
      </c>
      <c r="F780">
        <v>0</v>
      </c>
      <c r="G780" t="s">
        <v>136</v>
      </c>
    </row>
    <row r="781" spans="1:7" x14ac:dyDescent="0.3">
      <c r="A781">
        <v>2544601400</v>
      </c>
      <c r="B781" t="s">
        <v>33</v>
      </c>
      <c r="C781" t="s">
        <v>91</v>
      </c>
      <c r="D781" t="s">
        <v>17</v>
      </c>
      <c r="E781" s="13">
        <v>45444</v>
      </c>
      <c r="F781">
        <v>0</v>
      </c>
      <c r="G781" t="s">
        <v>136</v>
      </c>
    </row>
    <row r="782" spans="1:7" x14ac:dyDescent="0.3">
      <c r="A782">
        <v>2544601400</v>
      </c>
      <c r="B782" t="s">
        <v>33</v>
      </c>
      <c r="C782" t="s">
        <v>91</v>
      </c>
      <c r="D782" t="s">
        <v>17</v>
      </c>
      <c r="E782" s="13">
        <v>45474</v>
      </c>
      <c r="F782">
        <v>0</v>
      </c>
      <c r="G782" t="s">
        <v>136</v>
      </c>
    </row>
    <row r="783" spans="1:7" x14ac:dyDescent="0.3">
      <c r="A783">
        <v>2544601400</v>
      </c>
      <c r="B783" t="s">
        <v>33</v>
      </c>
      <c r="C783" t="s">
        <v>91</v>
      </c>
      <c r="D783" t="s">
        <v>17</v>
      </c>
      <c r="E783" s="13">
        <v>45505</v>
      </c>
      <c r="F783">
        <v>0</v>
      </c>
      <c r="G783" t="s">
        <v>136</v>
      </c>
    </row>
    <row r="784" spans="1:7" x14ac:dyDescent="0.3">
      <c r="A784">
        <v>2544601400</v>
      </c>
      <c r="B784" t="s">
        <v>33</v>
      </c>
      <c r="C784" t="s">
        <v>91</v>
      </c>
      <c r="D784" t="s">
        <v>17</v>
      </c>
      <c r="E784" s="13">
        <v>45536</v>
      </c>
      <c r="F784">
        <v>0</v>
      </c>
      <c r="G784" t="s">
        <v>136</v>
      </c>
    </row>
    <row r="785" spans="1:7" x14ac:dyDescent="0.3">
      <c r="A785">
        <v>2544601400</v>
      </c>
      <c r="B785" t="s">
        <v>33</v>
      </c>
      <c r="C785" t="s">
        <v>91</v>
      </c>
      <c r="D785" t="s">
        <v>17</v>
      </c>
      <c r="E785" s="13">
        <v>45566</v>
      </c>
      <c r="F785">
        <v>0</v>
      </c>
      <c r="G785" t="s">
        <v>136</v>
      </c>
    </row>
    <row r="786" spans="1:7" x14ac:dyDescent="0.3">
      <c r="A786">
        <v>2544601400</v>
      </c>
      <c r="B786" t="s">
        <v>33</v>
      </c>
      <c r="C786" t="s">
        <v>91</v>
      </c>
      <c r="D786" t="s">
        <v>17</v>
      </c>
      <c r="E786" s="13">
        <v>45597</v>
      </c>
      <c r="F786">
        <v>0</v>
      </c>
      <c r="G786" t="s">
        <v>136</v>
      </c>
    </row>
    <row r="787" spans="1:7" x14ac:dyDescent="0.3">
      <c r="A787">
        <v>2544601400</v>
      </c>
      <c r="B787" t="s">
        <v>33</v>
      </c>
      <c r="C787" t="s">
        <v>91</v>
      </c>
      <c r="D787" t="s">
        <v>17</v>
      </c>
      <c r="E787" s="13">
        <v>45627</v>
      </c>
      <c r="F787">
        <v>0</v>
      </c>
      <c r="G787" t="s">
        <v>136</v>
      </c>
    </row>
    <row r="788" spans="1:7" x14ac:dyDescent="0.3">
      <c r="A788">
        <v>2544601400</v>
      </c>
      <c r="B788" t="s">
        <v>33</v>
      </c>
      <c r="C788" t="s">
        <v>91</v>
      </c>
      <c r="D788" t="s">
        <v>17</v>
      </c>
      <c r="E788" s="13">
        <v>45658</v>
      </c>
      <c r="F788">
        <v>120743.037261</v>
      </c>
      <c r="G788" t="s">
        <v>136</v>
      </c>
    </row>
    <row r="789" spans="1:7" x14ac:dyDescent="0.3">
      <c r="A789">
        <v>2544601400</v>
      </c>
      <c r="B789" t="s">
        <v>33</v>
      </c>
      <c r="C789" t="s">
        <v>91</v>
      </c>
      <c r="D789" t="s">
        <v>17</v>
      </c>
      <c r="E789" s="13">
        <v>45689</v>
      </c>
      <c r="F789">
        <v>128562.52376125701</v>
      </c>
      <c r="G789" t="s">
        <v>136</v>
      </c>
    </row>
    <row r="790" spans="1:7" x14ac:dyDescent="0.3">
      <c r="A790">
        <v>2544601400</v>
      </c>
      <c r="B790" t="s">
        <v>33</v>
      </c>
      <c r="C790" t="s">
        <v>91</v>
      </c>
      <c r="D790" t="s">
        <v>17</v>
      </c>
      <c r="E790" s="13">
        <v>45717</v>
      </c>
      <c r="F790">
        <v>132254.701547723</v>
      </c>
      <c r="G790" t="s">
        <v>136</v>
      </c>
    </row>
    <row r="791" spans="1:7" x14ac:dyDescent="0.3">
      <c r="A791">
        <v>2544601400</v>
      </c>
      <c r="B791" t="s">
        <v>33</v>
      </c>
      <c r="C791" t="s">
        <v>91</v>
      </c>
      <c r="D791" t="s">
        <v>17</v>
      </c>
      <c r="E791" s="13">
        <v>45748</v>
      </c>
      <c r="F791">
        <v>131225.527882522</v>
      </c>
      <c r="G791" t="s">
        <v>136</v>
      </c>
    </row>
    <row r="792" spans="1:7" x14ac:dyDescent="0.3">
      <c r="A792">
        <v>2544601400</v>
      </c>
      <c r="B792" t="s">
        <v>33</v>
      </c>
      <c r="C792" t="s">
        <v>91</v>
      </c>
      <c r="D792" t="s">
        <v>17</v>
      </c>
      <c r="E792" s="13">
        <v>45778</v>
      </c>
      <c r="F792">
        <v>113819.14772511199</v>
      </c>
      <c r="G792" t="s">
        <v>136</v>
      </c>
    </row>
    <row r="793" spans="1:7" x14ac:dyDescent="0.3">
      <c r="A793">
        <v>2544601400</v>
      </c>
      <c r="B793" t="s">
        <v>33</v>
      </c>
      <c r="C793" t="s">
        <v>91</v>
      </c>
      <c r="D793" t="s">
        <v>17</v>
      </c>
      <c r="E793" s="13">
        <v>45809</v>
      </c>
      <c r="F793">
        <v>108185.128128</v>
      </c>
      <c r="G793" t="s">
        <v>136</v>
      </c>
    </row>
    <row r="794" spans="1:7" x14ac:dyDescent="0.3">
      <c r="A794">
        <v>2544600140</v>
      </c>
      <c r="B794" t="s">
        <v>34</v>
      </c>
      <c r="C794" t="s">
        <v>91</v>
      </c>
      <c r="D794" t="s">
        <v>17</v>
      </c>
      <c r="E794" s="13">
        <v>45292</v>
      </c>
      <c r="F794">
        <v>0</v>
      </c>
      <c r="G794" t="s">
        <v>137</v>
      </c>
    </row>
    <row r="795" spans="1:7" x14ac:dyDescent="0.3">
      <c r="A795">
        <v>2544600140</v>
      </c>
      <c r="B795" t="s">
        <v>34</v>
      </c>
      <c r="C795" t="s">
        <v>91</v>
      </c>
      <c r="D795" t="s">
        <v>17</v>
      </c>
      <c r="E795" s="13">
        <v>45323</v>
      </c>
      <c r="F795">
        <v>0</v>
      </c>
      <c r="G795" t="s">
        <v>137</v>
      </c>
    </row>
    <row r="796" spans="1:7" x14ac:dyDescent="0.3">
      <c r="A796">
        <v>2544600140</v>
      </c>
      <c r="B796" t="s">
        <v>34</v>
      </c>
      <c r="C796" t="s">
        <v>91</v>
      </c>
      <c r="D796" t="s">
        <v>17</v>
      </c>
      <c r="E796" s="13">
        <v>45352</v>
      </c>
      <c r="F796">
        <v>0</v>
      </c>
      <c r="G796" t="s">
        <v>137</v>
      </c>
    </row>
    <row r="797" spans="1:7" x14ac:dyDescent="0.3">
      <c r="A797">
        <v>2544600140</v>
      </c>
      <c r="B797" t="s">
        <v>34</v>
      </c>
      <c r="C797" t="s">
        <v>91</v>
      </c>
      <c r="D797" t="s">
        <v>17</v>
      </c>
      <c r="E797" s="13">
        <v>45383</v>
      </c>
      <c r="F797">
        <v>0</v>
      </c>
      <c r="G797" t="s">
        <v>137</v>
      </c>
    </row>
    <row r="798" spans="1:7" x14ac:dyDescent="0.3">
      <c r="A798">
        <v>2544600140</v>
      </c>
      <c r="B798" t="s">
        <v>34</v>
      </c>
      <c r="C798" t="s">
        <v>91</v>
      </c>
      <c r="D798" t="s">
        <v>17</v>
      </c>
      <c r="E798" s="13">
        <v>45413</v>
      </c>
      <c r="F798">
        <v>0</v>
      </c>
      <c r="G798" t="s">
        <v>137</v>
      </c>
    </row>
    <row r="799" spans="1:7" x14ac:dyDescent="0.3">
      <c r="A799">
        <v>2544600140</v>
      </c>
      <c r="B799" t="s">
        <v>34</v>
      </c>
      <c r="C799" t="s">
        <v>91</v>
      </c>
      <c r="D799" t="s">
        <v>17</v>
      </c>
      <c r="E799" s="13">
        <v>45444</v>
      </c>
      <c r="F799">
        <v>0</v>
      </c>
      <c r="G799" t="s">
        <v>137</v>
      </c>
    </row>
    <row r="800" spans="1:7" x14ac:dyDescent="0.3">
      <c r="A800">
        <v>2544600140</v>
      </c>
      <c r="B800" t="s">
        <v>34</v>
      </c>
      <c r="C800" t="s">
        <v>91</v>
      </c>
      <c r="D800" t="s">
        <v>17</v>
      </c>
      <c r="E800" s="13">
        <v>45474</v>
      </c>
      <c r="F800">
        <v>0</v>
      </c>
      <c r="G800" t="s">
        <v>137</v>
      </c>
    </row>
    <row r="801" spans="1:7" x14ac:dyDescent="0.3">
      <c r="A801">
        <v>2544600140</v>
      </c>
      <c r="B801" t="s">
        <v>34</v>
      </c>
      <c r="C801" t="s">
        <v>91</v>
      </c>
      <c r="D801" t="s">
        <v>17</v>
      </c>
      <c r="E801" s="13">
        <v>45505</v>
      </c>
      <c r="F801">
        <v>0</v>
      </c>
      <c r="G801" t="s">
        <v>137</v>
      </c>
    </row>
    <row r="802" spans="1:7" x14ac:dyDescent="0.3">
      <c r="A802">
        <v>2544600140</v>
      </c>
      <c r="B802" t="s">
        <v>34</v>
      </c>
      <c r="C802" t="s">
        <v>91</v>
      </c>
      <c r="D802" t="s">
        <v>17</v>
      </c>
      <c r="E802" s="13">
        <v>45536</v>
      </c>
      <c r="F802">
        <v>0</v>
      </c>
      <c r="G802" t="s">
        <v>137</v>
      </c>
    </row>
    <row r="803" spans="1:7" x14ac:dyDescent="0.3">
      <c r="A803">
        <v>2544600140</v>
      </c>
      <c r="B803" t="s">
        <v>34</v>
      </c>
      <c r="C803" t="s">
        <v>91</v>
      </c>
      <c r="D803" t="s">
        <v>17</v>
      </c>
      <c r="E803" s="13">
        <v>45566</v>
      </c>
      <c r="F803">
        <v>0</v>
      </c>
      <c r="G803" t="s">
        <v>137</v>
      </c>
    </row>
    <row r="804" spans="1:7" x14ac:dyDescent="0.3">
      <c r="A804">
        <v>2544600140</v>
      </c>
      <c r="B804" t="s">
        <v>34</v>
      </c>
      <c r="C804" t="s">
        <v>91</v>
      </c>
      <c r="D804" t="s">
        <v>17</v>
      </c>
      <c r="E804" s="13">
        <v>45597</v>
      </c>
      <c r="F804">
        <v>0</v>
      </c>
      <c r="G804" t="s">
        <v>137</v>
      </c>
    </row>
    <row r="805" spans="1:7" x14ac:dyDescent="0.3">
      <c r="A805">
        <v>2544600140</v>
      </c>
      <c r="B805" t="s">
        <v>34</v>
      </c>
      <c r="C805" t="s">
        <v>91</v>
      </c>
      <c r="D805" t="s">
        <v>17</v>
      </c>
      <c r="E805" s="13">
        <v>45627</v>
      </c>
      <c r="F805">
        <v>0</v>
      </c>
      <c r="G805" t="s">
        <v>137</v>
      </c>
    </row>
    <row r="806" spans="1:7" x14ac:dyDescent="0.3">
      <c r="A806">
        <v>2544600140</v>
      </c>
      <c r="B806" t="s">
        <v>34</v>
      </c>
      <c r="C806" t="s">
        <v>91</v>
      </c>
      <c r="D806" t="s">
        <v>17</v>
      </c>
      <c r="E806" s="13">
        <v>45658</v>
      </c>
      <c r="F806">
        <v>77803.449273000006</v>
      </c>
      <c r="G806" t="s">
        <v>137</v>
      </c>
    </row>
    <row r="807" spans="1:7" x14ac:dyDescent="0.3">
      <c r="A807">
        <v>2544600140</v>
      </c>
      <c r="B807" t="s">
        <v>34</v>
      </c>
      <c r="C807" t="s">
        <v>91</v>
      </c>
      <c r="D807" t="s">
        <v>17</v>
      </c>
      <c r="E807" s="13">
        <v>45689</v>
      </c>
      <c r="F807">
        <v>90917.016300000003</v>
      </c>
      <c r="G807" t="s">
        <v>137</v>
      </c>
    </row>
    <row r="808" spans="1:7" x14ac:dyDescent="0.3">
      <c r="A808">
        <v>2544600140</v>
      </c>
      <c r="B808" t="s">
        <v>34</v>
      </c>
      <c r="C808" t="s">
        <v>91</v>
      </c>
      <c r="D808" t="s">
        <v>17</v>
      </c>
      <c r="E808" s="13">
        <v>45717</v>
      </c>
      <c r="F808">
        <v>108164.706998127</v>
      </c>
      <c r="G808" t="s">
        <v>137</v>
      </c>
    </row>
    <row r="809" spans="1:7" x14ac:dyDescent="0.3">
      <c r="A809">
        <v>2544600140</v>
      </c>
      <c r="B809" t="s">
        <v>34</v>
      </c>
      <c r="C809" t="s">
        <v>91</v>
      </c>
      <c r="D809" t="s">
        <v>17</v>
      </c>
      <c r="E809" s="13">
        <v>45748</v>
      </c>
      <c r="F809">
        <v>142914.880077254</v>
      </c>
      <c r="G809" t="s">
        <v>137</v>
      </c>
    </row>
    <row r="810" spans="1:7" x14ac:dyDescent="0.3">
      <c r="A810">
        <v>2544600140</v>
      </c>
      <c r="B810" t="s">
        <v>34</v>
      </c>
      <c r="C810" t="s">
        <v>91</v>
      </c>
      <c r="D810" t="s">
        <v>17</v>
      </c>
      <c r="E810" s="13">
        <v>45778</v>
      </c>
      <c r="F810">
        <v>133451.56798714501</v>
      </c>
      <c r="G810" t="s">
        <v>137</v>
      </c>
    </row>
    <row r="811" spans="1:7" x14ac:dyDescent="0.3">
      <c r="A811">
        <v>2544600140</v>
      </c>
      <c r="B811" t="s">
        <v>34</v>
      </c>
      <c r="C811" t="s">
        <v>91</v>
      </c>
      <c r="D811" t="s">
        <v>17</v>
      </c>
      <c r="E811" s="13">
        <v>45809</v>
      </c>
      <c r="F811">
        <v>144759.4576461</v>
      </c>
      <c r="G811" t="s">
        <v>137</v>
      </c>
    </row>
    <row r="812" spans="1:7" x14ac:dyDescent="0.3">
      <c r="A812">
        <v>2544600120</v>
      </c>
      <c r="B812" t="s">
        <v>35</v>
      </c>
      <c r="C812" t="s">
        <v>91</v>
      </c>
      <c r="D812" t="s">
        <v>17</v>
      </c>
      <c r="E812" s="13">
        <v>45292</v>
      </c>
      <c r="F812">
        <v>0</v>
      </c>
      <c r="G812" t="s">
        <v>138</v>
      </c>
    </row>
    <row r="813" spans="1:7" x14ac:dyDescent="0.3">
      <c r="A813">
        <v>2544600120</v>
      </c>
      <c r="B813" t="s">
        <v>35</v>
      </c>
      <c r="C813" t="s">
        <v>91</v>
      </c>
      <c r="D813" t="s">
        <v>17</v>
      </c>
      <c r="E813" s="13">
        <v>45323</v>
      </c>
      <c r="F813">
        <v>0</v>
      </c>
      <c r="G813" t="s">
        <v>138</v>
      </c>
    </row>
    <row r="814" spans="1:7" x14ac:dyDescent="0.3">
      <c r="A814">
        <v>2544600120</v>
      </c>
      <c r="B814" t="s">
        <v>35</v>
      </c>
      <c r="C814" t="s">
        <v>91</v>
      </c>
      <c r="D814" t="s">
        <v>17</v>
      </c>
      <c r="E814" s="13">
        <v>45352</v>
      </c>
      <c r="F814">
        <v>0</v>
      </c>
      <c r="G814" t="s">
        <v>138</v>
      </c>
    </row>
    <row r="815" spans="1:7" x14ac:dyDescent="0.3">
      <c r="A815">
        <v>2544600120</v>
      </c>
      <c r="B815" t="s">
        <v>35</v>
      </c>
      <c r="C815" t="s">
        <v>91</v>
      </c>
      <c r="D815" t="s">
        <v>17</v>
      </c>
      <c r="E815" s="13">
        <v>45383</v>
      </c>
      <c r="F815">
        <v>0</v>
      </c>
      <c r="G815" t="s">
        <v>138</v>
      </c>
    </row>
    <row r="816" spans="1:7" x14ac:dyDescent="0.3">
      <c r="A816">
        <v>2544600120</v>
      </c>
      <c r="B816" t="s">
        <v>35</v>
      </c>
      <c r="C816" t="s">
        <v>91</v>
      </c>
      <c r="D816" t="s">
        <v>17</v>
      </c>
      <c r="E816" s="13">
        <v>45413</v>
      </c>
      <c r="F816">
        <v>0</v>
      </c>
      <c r="G816" t="s">
        <v>138</v>
      </c>
    </row>
    <row r="817" spans="1:7" x14ac:dyDescent="0.3">
      <c r="A817">
        <v>2544600120</v>
      </c>
      <c r="B817" t="s">
        <v>35</v>
      </c>
      <c r="C817" t="s">
        <v>91</v>
      </c>
      <c r="D817" t="s">
        <v>17</v>
      </c>
      <c r="E817" s="13">
        <v>45444</v>
      </c>
      <c r="F817">
        <v>0</v>
      </c>
      <c r="G817" t="s">
        <v>138</v>
      </c>
    </row>
    <row r="818" spans="1:7" x14ac:dyDescent="0.3">
      <c r="A818">
        <v>2544600120</v>
      </c>
      <c r="B818" t="s">
        <v>35</v>
      </c>
      <c r="C818" t="s">
        <v>91</v>
      </c>
      <c r="D818" t="s">
        <v>17</v>
      </c>
      <c r="E818" s="13">
        <v>45474</v>
      </c>
      <c r="F818">
        <v>0</v>
      </c>
      <c r="G818" t="s">
        <v>138</v>
      </c>
    </row>
    <row r="819" spans="1:7" x14ac:dyDescent="0.3">
      <c r="A819">
        <v>2544600120</v>
      </c>
      <c r="B819" t="s">
        <v>35</v>
      </c>
      <c r="C819" t="s">
        <v>91</v>
      </c>
      <c r="D819" t="s">
        <v>17</v>
      </c>
      <c r="E819" s="13">
        <v>45505</v>
      </c>
      <c r="F819">
        <v>0</v>
      </c>
      <c r="G819" t="s">
        <v>138</v>
      </c>
    </row>
    <row r="820" spans="1:7" x14ac:dyDescent="0.3">
      <c r="A820">
        <v>2544600120</v>
      </c>
      <c r="B820" t="s">
        <v>35</v>
      </c>
      <c r="C820" t="s">
        <v>91</v>
      </c>
      <c r="D820" t="s">
        <v>17</v>
      </c>
      <c r="E820" s="13">
        <v>45536</v>
      </c>
      <c r="F820">
        <v>0</v>
      </c>
      <c r="G820" t="s">
        <v>138</v>
      </c>
    </row>
    <row r="821" spans="1:7" x14ac:dyDescent="0.3">
      <c r="A821">
        <v>2544600120</v>
      </c>
      <c r="B821" t="s">
        <v>35</v>
      </c>
      <c r="C821" t="s">
        <v>91</v>
      </c>
      <c r="D821" t="s">
        <v>17</v>
      </c>
      <c r="E821" s="13">
        <v>45566</v>
      </c>
      <c r="F821">
        <v>0</v>
      </c>
      <c r="G821" t="s">
        <v>138</v>
      </c>
    </row>
    <row r="822" spans="1:7" x14ac:dyDescent="0.3">
      <c r="A822">
        <v>2544600120</v>
      </c>
      <c r="B822" t="s">
        <v>35</v>
      </c>
      <c r="C822" t="s">
        <v>91</v>
      </c>
      <c r="D822" t="s">
        <v>17</v>
      </c>
      <c r="E822" s="13">
        <v>45597</v>
      </c>
      <c r="F822">
        <v>0</v>
      </c>
      <c r="G822" t="s">
        <v>138</v>
      </c>
    </row>
    <row r="823" spans="1:7" x14ac:dyDescent="0.3">
      <c r="A823">
        <v>2544600120</v>
      </c>
      <c r="B823" t="s">
        <v>35</v>
      </c>
      <c r="C823" t="s">
        <v>91</v>
      </c>
      <c r="D823" t="s">
        <v>17</v>
      </c>
      <c r="E823" s="13">
        <v>45627</v>
      </c>
      <c r="F823">
        <v>0</v>
      </c>
      <c r="G823" t="s">
        <v>138</v>
      </c>
    </row>
    <row r="824" spans="1:7" x14ac:dyDescent="0.3">
      <c r="A824">
        <v>2544600120</v>
      </c>
      <c r="B824" t="s">
        <v>35</v>
      </c>
      <c r="C824" t="s">
        <v>91</v>
      </c>
      <c r="D824" t="s">
        <v>17</v>
      </c>
      <c r="E824" s="13">
        <v>45658</v>
      </c>
      <c r="F824">
        <v>12718.715228999999</v>
      </c>
      <c r="G824" t="s">
        <v>138</v>
      </c>
    </row>
    <row r="825" spans="1:7" x14ac:dyDescent="0.3">
      <c r="A825">
        <v>2544600120</v>
      </c>
      <c r="B825" t="s">
        <v>35</v>
      </c>
      <c r="C825" t="s">
        <v>91</v>
      </c>
      <c r="D825" t="s">
        <v>17</v>
      </c>
      <c r="E825" s="13">
        <v>45689</v>
      </c>
      <c r="F825">
        <v>13651.5784597084</v>
      </c>
      <c r="G825" t="s">
        <v>138</v>
      </c>
    </row>
    <row r="826" spans="1:7" x14ac:dyDescent="0.3">
      <c r="A826">
        <v>2544600120</v>
      </c>
      <c r="B826" t="s">
        <v>35</v>
      </c>
      <c r="C826" t="s">
        <v>91</v>
      </c>
      <c r="D826" t="s">
        <v>17</v>
      </c>
      <c r="E826" s="13">
        <v>45717</v>
      </c>
      <c r="F826">
        <v>16336.8791920125</v>
      </c>
      <c r="G826" t="s">
        <v>138</v>
      </c>
    </row>
    <row r="827" spans="1:7" x14ac:dyDescent="0.3">
      <c r="A827">
        <v>2544600120</v>
      </c>
      <c r="B827" t="s">
        <v>35</v>
      </c>
      <c r="C827" t="s">
        <v>91</v>
      </c>
      <c r="D827" t="s">
        <v>17</v>
      </c>
      <c r="E827" s="13">
        <v>45748</v>
      </c>
      <c r="F827">
        <v>15475.386891739799</v>
      </c>
      <c r="G827" t="s">
        <v>138</v>
      </c>
    </row>
    <row r="828" spans="1:7" x14ac:dyDescent="0.3">
      <c r="A828">
        <v>2544600120</v>
      </c>
      <c r="B828" t="s">
        <v>35</v>
      </c>
      <c r="C828" t="s">
        <v>91</v>
      </c>
      <c r="D828" t="s">
        <v>17</v>
      </c>
      <c r="E828" s="13">
        <v>45778</v>
      </c>
      <c r="F828">
        <v>11421.3553828605</v>
      </c>
      <c r="G828" t="s">
        <v>138</v>
      </c>
    </row>
    <row r="829" spans="1:7" x14ac:dyDescent="0.3">
      <c r="A829">
        <v>2544600120</v>
      </c>
      <c r="B829" t="s">
        <v>35</v>
      </c>
      <c r="C829" t="s">
        <v>91</v>
      </c>
      <c r="D829" t="s">
        <v>17</v>
      </c>
      <c r="E829" s="13">
        <v>45809</v>
      </c>
      <c r="F829">
        <v>12351.66669</v>
      </c>
      <c r="G829" t="s">
        <v>138</v>
      </c>
    </row>
    <row r="830" spans="1:7" x14ac:dyDescent="0.3">
      <c r="A830">
        <v>2544600170</v>
      </c>
      <c r="B830" t="s">
        <v>36</v>
      </c>
      <c r="C830" t="s">
        <v>91</v>
      </c>
      <c r="D830" t="s">
        <v>17</v>
      </c>
      <c r="E830" s="13">
        <v>45292</v>
      </c>
      <c r="F830">
        <v>0</v>
      </c>
      <c r="G830" t="s">
        <v>139</v>
      </c>
    </row>
    <row r="831" spans="1:7" x14ac:dyDescent="0.3">
      <c r="A831">
        <v>2544600170</v>
      </c>
      <c r="B831" t="s">
        <v>36</v>
      </c>
      <c r="C831" t="s">
        <v>91</v>
      </c>
      <c r="D831" t="s">
        <v>17</v>
      </c>
      <c r="E831" s="13">
        <v>45323</v>
      </c>
      <c r="F831">
        <v>0</v>
      </c>
      <c r="G831" t="s">
        <v>139</v>
      </c>
    </row>
    <row r="832" spans="1:7" x14ac:dyDescent="0.3">
      <c r="A832">
        <v>2544600170</v>
      </c>
      <c r="B832" t="s">
        <v>36</v>
      </c>
      <c r="C832" t="s">
        <v>91</v>
      </c>
      <c r="D832" t="s">
        <v>17</v>
      </c>
      <c r="E832" s="13">
        <v>45352</v>
      </c>
      <c r="F832">
        <v>0</v>
      </c>
      <c r="G832" t="s">
        <v>139</v>
      </c>
    </row>
    <row r="833" spans="1:7" x14ac:dyDescent="0.3">
      <c r="A833">
        <v>2544600170</v>
      </c>
      <c r="B833" t="s">
        <v>36</v>
      </c>
      <c r="C833" t="s">
        <v>91</v>
      </c>
      <c r="D833" t="s">
        <v>17</v>
      </c>
      <c r="E833" s="13">
        <v>45383</v>
      </c>
      <c r="F833">
        <v>0</v>
      </c>
      <c r="G833" t="s">
        <v>139</v>
      </c>
    </row>
    <row r="834" spans="1:7" x14ac:dyDescent="0.3">
      <c r="A834">
        <v>2544600170</v>
      </c>
      <c r="B834" t="s">
        <v>36</v>
      </c>
      <c r="C834" t="s">
        <v>91</v>
      </c>
      <c r="D834" t="s">
        <v>17</v>
      </c>
      <c r="E834" s="13">
        <v>45413</v>
      </c>
      <c r="F834">
        <v>0</v>
      </c>
      <c r="G834" t="s">
        <v>139</v>
      </c>
    </row>
    <row r="835" spans="1:7" x14ac:dyDescent="0.3">
      <c r="A835">
        <v>2544600170</v>
      </c>
      <c r="B835" t="s">
        <v>36</v>
      </c>
      <c r="C835" t="s">
        <v>91</v>
      </c>
      <c r="D835" t="s">
        <v>17</v>
      </c>
      <c r="E835" s="13">
        <v>45444</v>
      </c>
      <c r="F835">
        <v>0</v>
      </c>
      <c r="G835" t="s">
        <v>139</v>
      </c>
    </row>
    <row r="836" spans="1:7" x14ac:dyDescent="0.3">
      <c r="A836">
        <v>2544600170</v>
      </c>
      <c r="B836" t="s">
        <v>36</v>
      </c>
      <c r="C836" t="s">
        <v>91</v>
      </c>
      <c r="D836" t="s">
        <v>17</v>
      </c>
      <c r="E836" s="13">
        <v>45474</v>
      </c>
      <c r="F836">
        <v>0</v>
      </c>
      <c r="G836" t="s">
        <v>139</v>
      </c>
    </row>
    <row r="837" spans="1:7" x14ac:dyDescent="0.3">
      <c r="A837">
        <v>2544600170</v>
      </c>
      <c r="B837" t="s">
        <v>36</v>
      </c>
      <c r="C837" t="s">
        <v>91</v>
      </c>
      <c r="D837" t="s">
        <v>17</v>
      </c>
      <c r="E837" s="13">
        <v>45505</v>
      </c>
      <c r="F837">
        <v>0</v>
      </c>
      <c r="G837" t="s">
        <v>139</v>
      </c>
    </row>
    <row r="838" spans="1:7" x14ac:dyDescent="0.3">
      <c r="A838">
        <v>2544600170</v>
      </c>
      <c r="B838" t="s">
        <v>36</v>
      </c>
      <c r="C838" t="s">
        <v>91</v>
      </c>
      <c r="D838" t="s">
        <v>17</v>
      </c>
      <c r="E838" s="13">
        <v>45536</v>
      </c>
      <c r="F838">
        <v>0</v>
      </c>
      <c r="G838" t="s">
        <v>139</v>
      </c>
    </row>
    <row r="839" spans="1:7" x14ac:dyDescent="0.3">
      <c r="A839">
        <v>2544600170</v>
      </c>
      <c r="B839" t="s">
        <v>36</v>
      </c>
      <c r="C839" t="s">
        <v>91</v>
      </c>
      <c r="D839" t="s">
        <v>17</v>
      </c>
      <c r="E839" s="13">
        <v>45566</v>
      </c>
      <c r="F839">
        <v>0</v>
      </c>
      <c r="G839" t="s">
        <v>139</v>
      </c>
    </row>
    <row r="840" spans="1:7" x14ac:dyDescent="0.3">
      <c r="A840">
        <v>2544600170</v>
      </c>
      <c r="B840" t="s">
        <v>36</v>
      </c>
      <c r="C840" t="s">
        <v>91</v>
      </c>
      <c r="D840" t="s">
        <v>17</v>
      </c>
      <c r="E840" s="13">
        <v>45597</v>
      </c>
      <c r="F840">
        <v>0</v>
      </c>
      <c r="G840" t="s">
        <v>139</v>
      </c>
    </row>
    <row r="841" spans="1:7" x14ac:dyDescent="0.3">
      <c r="A841">
        <v>2544600170</v>
      </c>
      <c r="B841" t="s">
        <v>36</v>
      </c>
      <c r="C841" t="s">
        <v>91</v>
      </c>
      <c r="D841" t="s">
        <v>17</v>
      </c>
      <c r="E841" s="13">
        <v>45627</v>
      </c>
      <c r="F841">
        <v>0</v>
      </c>
      <c r="G841" t="s">
        <v>139</v>
      </c>
    </row>
    <row r="842" spans="1:7" x14ac:dyDescent="0.3">
      <c r="A842">
        <v>2544600170</v>
      </c>
      <c r="B842" t="s">
        <v>36</v>
      </c>
      <c r="C842" t="s">
        <v>91</v>
      </c>
      <c r="D842" t="s">
        <v>17</v>
      </c>
      <c r="E842" s="13">
        <v>45658</v>
      </c>
      <c r="F842">
        <v>2632.9841999999999</v>
      </c>
      <c r="G842" t="s">
        <v>139</v>
      </c>
    </row>
    <row r="843" spans="1:7" x14ac:dyDescent="0.3">
      <c r="A843">
        <v>2544600170</v>
      </c>
      <c r="B843" t="s">
        <v>36</v>
      </c>
      <c r="C843" t="s">
        <v>91</v>
      </c>
      <c r="D843" t="s">
        <v>17</v>
      </c>
      <c r="E843" s="13">
        <v>45689</v>
      </c>
      <c r="F843">
        <v>2560.9757513725699</v>
      </c>
      <c r="G843" t="s">
        <v>139</v>
      </c>
    </row>
    <row r="844" spans="1:7" x14ac:dyDescent="0.3">
      <c r="A844">
        <v>2544600170</v>
      </c>
      <c r="B844" t="s">
        <v>36</v>
      </c>
      <c r="C844" t="s">
        <v>91</v>
      </c>
      <c r="D844" t="s">
        <v>17</v>
      </c>
      <c r="E844" s="13">
        <v>45717</v>
      </c>
      <c r="F844">
        <v>2620.5616775250001</v>
      </c>
      <c r="G844" t="s">
        <v>139</v>
      </c>
    </row>
    <row r="845" spans="1:7" x14ac:dyDescent="0.3">
      <c r="A845">
        <v>2544600170</v>
      </c>
      <c r="B845" t="s">
        <v>36</v>
      </c>
      <c r="C845" t="s">
        <v>91</v>
      </c>
      <c r="D845" t="s">
        <v>17</v>
      </c>
      <c r="E845" s="13">
        <v>45748</v>
      </c>
      <c r="F845">
        <v>3759.3345729041598</v>
      </c>
      <c r="G845" t="s">
        <v>139</v>
      </c>
    </row>
    <row r="846" spans="1:7" x14ac:dyDescent="0.3">
      <c r="A846">
        <v>2544600170</v>
      </c>
      <c r="B846" t="s">
        <v>36</v>
      </c>
      <c r="C846" t="s">
        <v>91</v>
      </c>
      <c r="D846" t="s">
        <v>17</v>
      </c>
      <c r="E846" s="13">
        <v>45778</v>
      </c>
      <c r="F846">
        <v>3757.097381301</v>
      </c>
      <c r="G846" t="s">
        <v>139</v>
      </c>
    </row>
    <row r="847" spans="1:7" x14ac:dyDescent="0.3">
      <c r="A847">
        <v>2544600170</v>
      </c>
      <c r="B847" t="s">
        <v>36</v>
      </c>
      <c r="C847" t="s">
        <v>91</v>
      </c>
      <c r="D847" t="s">
        <v>17</v>
      </c>
      <c r="E847" s="13">
        <v>45809</v>
      </c>
      <c r="F847">
        <v>3807.1657799999998</v>
      </c>
      <c r="G847" t="s">
        <v>139</v>
      </c>
    </row>
    <row r="848" spans="1:7" x14ac:dyDescent="0.3">
      <c r="A848">
        <v>2561400000</v>
      </c>
      <c r="B848" t="s">
        <v>19</v>
      </c>
      <c r="C848" t="s">
        <v>91</v>
      </c>
      <c r="D848" t="s">
        <v>19</v>
      </c>
      <c r="E848" s="13">
        <v>45292</v>
      </c>
      <c r="F848">
        <v>0</v>
      </c>
      <c r="G848" t="s">
        <v>140</v>
      </c>
    </row>
    <row r="849" spans="1:7" x14ac:dyDescent="0.3">
      <c r="A849">
        <v>2561400000</v>
      </c>
      <c r="B849" t="s">
        <v>19</v>
      </c>
      <c r="C849" t="s">
        <v>91</v>
      </c>
      <c r="D849" t="s">
        <v>19</v>
      </c>
      <c r="E849" s="13">
        <v>45323</v>
      </c>
      <c r="F849">
        <v>0</v>
      </c>
      <c r="G849" t="s">
        <v>140</v>
      </c>
    </row>
    <row r="850" spans="1:7" x14ac:dyDescent="0.3">
      <c r="A850">
        <v>2561400000</v>
      </c>
      <c r="B850" t="s">
        <v>19</v>
      </c>
      <c r="C850" t="s">
        <v>91</v>
      </c>
      <c r="D850" t="s">
        <v>19</v>
      </c>
      <c r="E850" s="13">
        <v>45352</v>
      </c>
      <c r="F850">
        <v>0</v>
      </c>
      <c r="G850" t="s">
        <v>140</v>
      </c>
    </row>
    <row r="851" spans="1:7" x14ac:dyDescent="0.3">
      <c r="A851">
        <v>2561400000</v>
      </c>
      <c r="B851" t="s">
        <v>19</v>
      </c>
      <c r="C851" t="s">
        <v>91</v>
      </c>
      <c r="D851" t="s">
        <v>19</v>
      </c>
      <c r="E851" s="13">
        <v>45383</v>
      </c>
      <c r="F851">
        <v>0</v>
      </c>
      <c r="G851" t="s">
        <v>140</v>
      </c>
    </row>
    <row r="852" spans="1:7" x14ac:dyDescent="0.3">
      <c r="A852">
        <v>2561400000</v>
      </c>
      <c r="B852" t="s">
        <v>19</v>
      </c>
      <c r="C852" t="s">
        <v>91</v>
      </c>
      <c r="D852" t="s">
        <v>19</v>
      </c>
      <c r="E852" s="13">
        <v>45413</v>
      </c>
      <c r="F852">
        <v>0</v>
      </c>
      <c r="G852" t="s">
        <v>140</v>
      </c>
    </row>
    <row r="853" spans="1:7" x14ac:dyDescent="0.3">
      <c r="A853">
        <v>2561400000</v>
      </c>
      <c r="B853" t="s">
        <v>19</v>
      </c>
      <c r="C853" t="s">
        <v>91</v>
      </c>
      <c r="D853" t="s">
        <v>19</v>
      </c>
      <c r="E853" s="13">
        <v>45444</v>
      </c>
      <c r="F853">
        <v>0</v>
      </c>
      <c r="G853" t="s">
        <v>140</v>
      </c>
    </row>
    <row r="854" spans="1:7" x14ac:dyDescent="0.3">
      <c r="A854">
        <v>2561400000</v>
      </c>
      <c r="B854" t="s">
        <v>19</v>
      </c>
      <c r="C854" t="s">
        <v>91</v>
      </c>
      <c r="D854" t="s">
        <v>19</v>
      </c>
      <c r="E854" s="13">
        <v>45474</v>
      </c>
      <c r="F854">
        <v>0</v>
      </c>
      <c r="G854" t="s">
        <v>140</v>
      </c>
    </row>
    <row r="855" spans="1:7" x14ac:dyDescent="0.3">
      <c r="A855">
        <v>2561400000</v>
      </c>
      <c r="B855" t="s">
        <v>19</v>
      </c>
      <c r="C855" t="s">
        <v>91</v>
      </c>
      <c r="D855" t="s">
        <v>19</v>
      </c>
      <c r="E855" s="13">
        <v>45505</v>
      </c>
      <c r="F855">
        <v>0</v>
      </c>
      <c r="G855" t="s">
        <v>140</v>
      </c>
    </row>
    <row r="856" spans="1:7" x14ac:dyDescent="0.3">
      <c r="A856">
        <v>2561400000</v>
      </c>
      <c r="B856" t="s">
        <v>19</v>
      </c>
      <c r="C856" t="s">
        <v>91</v>
      </c>
      <c r="D856" t="s">
        <v>19</v>
      </c>
      <c r="E856" s="13">
        <v>45536</v>
      </c>
      <c r="F856">
        <v>0</v>
      </c>
      <c r="G856" t="s">
        <v>140</v>
      </c>
    </row>
    <row r="857" spans="1:7" x14ac:dyDescent="0.3">
      <c r="A857">
        <v>2561400000</v>
      </c>
      <c r="B857" t="s">
        <v>19</v>
      </c>
      <c r="C857" t="s">
        <v>91</v>
      </c>
      <c r="D857" t="s">
        <v>19</v>
      </c>
      <c r="E857" s="13">
        <v>45566</v>
      </c>
      <c r="F857">
        <v>0</v>
      </c>
      <c r="G857" t="s">
        <v>140</v>
      </c>
    </row>
    <row r="858" spans="1:7" x14ac:dyDescent="0.3">
      <c r="A858">
        <v>2561400000</v>
      </c>
      <c r="B858" t="s">
        <v>19</v>
      </c>
      <c r="C858" t="s">
        <v>91</v>
      </c>
      <c r="D858" t="s">
        <v>19</v>
      </c>
      <c r="E858" s="13">
        <v>45597</v>
      </c>
      <c r="F858">
        <v>0</v>
      </c>
      <c r="G858" t="s">
        <v>140</v>
      </c>
    </row>
    <row r="859" spans="1:7" x14ac:dyDescent="0.3">
      <c r="A859">
        <v>2561400000</v>
      </c>
      <c r="B859" t="s">
        <v>19</v>
      </c>
      <c r="C859" t="s">
        <v>91</v>
      </c>
      <c r="D859" t="s">
        <v>19</v>
      </c>
      <c r="E859" s="13">
        <v>45627</v>
      </c>
      <c r="F859">
        <v>0</v>
      </c>
      <c r="G859" t="s">
        <v>140</v>
      </c>
    </row>
    <row r="860" spans="1:7" x14ac:dyDescent="0.3">
      <c r="A860">
        <v>2561400000</v>
      </c>
      <c r="B860" t="s">
        <v>19</v>
      </c>
      <c r="C860" t="s">
        <v>91</v>
      </c>
      <c r="D860" t="s">
        <v>19</v>
      </c>
      <c r="E860" s="13">
        <v>45658</v>
      </c>
      <c r="F860">
        <v>96777.789965999997</v>
      </c>
      <c r="G860" t="s">
        <v>140</v>
      </c>
    </row>
    <row r="861" spans="1:7" x14ac:dyDescent="0.3">
      <c r="A861">
        <v>2561400000</v>
      </c>
      <c r="B861" t="s">
        <v>19</v>
      </c>
      <c r="C861" t="s">
        <v>91</v>
      </c>
      <c r="D861" t="s">
        <v>19</v>
      </c>
      <c r="E861" s="13">
        <v>45689</v>
      </c>
      <c r="F861">
        <v>96777.789965999997</v>
      </c>
      <c r="G861" t="s">
        <v>140</v>
      </c>
    </row>
    <row r="862" spans="1:7" x14ac:dyDescent="0.3">
      <c r="A862">
        <v>2561400000</v>
      </c>
      <c r="B862" t="s">
        <v>19</v>
      </c>
      <c r="C862" t="s">
        <v>91</v>
      </c>
      <c r="D862" t="s">
        <v>19</v>
      </c>
      <c r="E862" s="13">
        <v>45717</v>
      </c>
      <c r="F862">
        <v>96777.789965999997</v>
      </c>
      <c r="G862" t="s">
        <v>140</v>
      </c>
    </row>
    <row r="863" spans="1:7" x14ac:dyDescent="0.3">
      <c r="A863">
        <v>2561400000</v>
      </c>
      <c r="B863" t="s">
        <v>19</v>
      </c>
      <c r="C863" t="s">
        <v>91</v>
      </c>
      <c r="D863" t="s">
        <v>19</v>
      </c>
      <c r="E863" s="13">
        <v>45748</v>
      </c>
      <c r="F863">
        <v>96777.789965999997</v>
      </c>
      <c r="G863" t="s">
        <v>140</v>
      </c>
    </row>
    <row r="864" spans="1:7" x14ac:dyDescent="0.3">
      <c r="A864">
        <v>2561400000</v>
      </c>
      <c r="B864" t="s">
        <v>19</v>
      </c>
      <c r="C864" t="s">
        <v>91</v>
      </c>
      <c r="D864" t="s">
        <v>19</v>
      </c>
      <c r="E864" s="13">
        <v>45778</v>
      </c>
      <c r="F864">
        <v>96777.789965999997</v>
      </c>
      <c r="G864" t="s">
        <v>140</v>
      </c>
    </row>
    <row r="865" spans="1:7" x14ac:dyDescent="0.3">
      <c r="A865">
        <v>2561400000</v>
      </c>
      <c r="B865" t="s">
        <v>19</v>
      </c>
      <c r="C865" t="s">
        <v>91</v>
      </c>
      <c r="D865" t="s">
        <v>19</v>
      </c>
      <c r="E865" s="13">
        <v>45809</v>
      </c>
      <c r="F865">
        <v>96777.789965999997</v>
      </c>
      <c r="G865" t="s">
        <v>140</v>
      </c>
    </row>
    <row r="866" spans="1:7" x14ac:dyDescent="0.3">
      <c r="A866">
        <v>2627300000</v>
      </c>
      <c r="B866" t="s">
        <v>49</v>
      </c>
      <c r="C866" t="s">
        <v>91</v>
      </c>
      <c r="D866" t="s">
        <v>22</v>
      </c>
      <c r="E866" s="13">
        <v>45292</v>
      </c>
      <c r="F866">
        <v>0</v>
      </c>
      <c r="G866" t="s">
        <v>141</v>
      </c>
    </row>
    <row r="867" spans="1:7" x14ac:dyDescent="0.3">
      <c r="A867">
        <v>2627300000</v>
      </c>
      <c r="B867" t="s">
        <v>49</v>
      </c>
      <c r="C867" t="s">
        <v>91</v>
      </c>
      <c r="D867" t="s">
        <v>22</v>
      </c>
      <c r="E867" s="13">
        <v>45323</v>
      </c>
      <c r="F867">
        <v>0</v>
      </c>
      <c r="G867" t="s">
        <v>141</v>
      </c>
    </row>
    <row r="868" spans="1:7" x14ac:dyDescent="0.3">
      <c r="A868">
        <v>2627300000</v>
      </c>
      <c r="B868" t="s">
        <v>49</v>
      </c>
      <c r="C868" t="s">
        <v>91</v>
      </c>
      <c r="D868" t="s">
        <v>22</v>
      </c>
      <c r="E868" s="13">
        <v>45352</v>
      </c>
      <c r="F868">
        <v>0</v>
      </c>
      <c r="G868" t="s">
        <v>141</v>
      </c>
    </row>
    <row r="869" spans="1:7" x14ac:dyDescent="0.3">
      <c r="A869">
        <v>2627300000</v>
      </c>
      <c r="B869" t="s">
        <v>49</v>
      </c>
      <c r="C869" t="s">
        <v>91</v>
      </c>
      <c r="D869" t="s">
        <v>22</v>
      </c>
      <c r="E869" s="13">
        <v>45383</v>
      </c>
      <c r="F869">
        <v>0</v>
      </c>
      <c r="G869" t="s">
        <v>141</v>
      </c>
    </row>
    <row r="870" spans="1:7" x14ac:dyDescent="0.3">
      <c r="A870">
        <v>2627300000</v>
      </c>
      <c r="B870" t="s">
        <v>49</v>
      </c>
      <c r="C870" t="s">
        <v>91</v>
      </c>
      <c r="D870" t="s">
        <v>22</v>
      </c>
      <c r="E870" s="13">
        <v>45413</v>
      </c>
      <c r="F870">
        <v>0</v>
      </c>
      <c r="G870" t="s">
        <v>141</v>
      </c>
    </row>
    <row r="871" spans="1:7" x14ac:dyDescent="0.3">
      <c r="A871">
        <v>2627300000</v>
      </c>
      <c r="B871" t="s">
        <v>49</v>
      </c>
      <c r="C871" t="s">
        <v>91</v>
      </c>
      <c r="D871" t="s">
        <v>22</v>
      </c>
      <c r="E871" s="13">
        <v>45444</v>
      </c>
      <c r="F871">
        <v>0</v>
      </c>
      <c r="G871" t="s">
        <v>141</v>
      </c>
    </row>
    <row r="872" spans="1:7" x14ac:dyDescent="0.3">
      <c r="A872">
        <v>2627300000</v>
      </c>
      <c r="B872" t="s">
        <v>49</v>
      </c>
      <c r="C872" t="s">
        <v>91</v>
      </c>
      <c r="D872" t="s">
        <v>22</v>
      </c>
      <c r="E872" s="13">
        <v>45474</v>
      </c>
      <c r="F872">
        <v>0</v>
      </c>
      <c r="G872" t="s">
        <v>141</v>
      </c>
    </row>
    <row r="873" spans="1:7" x14ac:dyDescent="0.3">
      <c r="A873">
        <v>2627300000</v>
      </c>
      <c r="B873" t="s">
        <v>49</v>
      </c>
      <c r="C873" t="s">
        <v>91</v>
      </c>
      <c r="D873" t="s">
        <v>22</v>
      </c>
      <c r="E873" s="13">
        <v>45505</v>
      </c>
      <c r="F873">
        <v>0</v>
      </c>
      <c r="G873" t="s">
        <v>141</v>
      </c>
    </row>
    <row r="874" spans="1:7" x14ac:dyDescent="0.3">
      <c r="A874">
        <v>2627300000</v>
      </c>
      <c r="B874" t="s">
        <v>49</v>
      </c>
      <c r="C874" t="s">
        <v>91</v>
      </c>
      <c r="D874" t="s">
        <v>22</v>
      </c>
      <c r="E874" s="13">
        <v>45536</v>
      </c>
      <c r="F874">
        <v>0</v>
      </c>
      <c r="G874" t="s">
        <v>141</v>
      </c>
    </row>
    <row r="875" spans="1:7" x14ac:dyDescent="0.3">
      <c r="A875">
        <v>2627300000</v>
      </c>
      <c r="B875" t="s">
        <v>49</v>
      </c>
      <c r="C875" t="s">
        <v>91</v>
      </c>
      <c r="D875" t="s">
        <v>22</v>
      </c>
      <c r="E875" s="13">
        <v>45566</v>
      </c>
      <c r="F875">
        <v>0</v>
      </c>
      <c r="G875" t="s">
        <v>141</v>
      </c>
    </row>
    <row r="876" spans="1:7" x14ac:dyDescent="0.3">
      <c r="A876">
        <v>2627300000</v>
      </c>
      <c r="B876" t="s">
        <v>49</v>
      </c>
      <c r="C876" t="s">
        <v>91</v>
      </c>
      <c r="D876" t="s">
        <v>22</v>
      </c>
      <c r="E876" s="13">
        <v>45597</v>
      </c>
      <c r="F876">
        <v>0</v>
      </c>
      <c r="G876" t="s">
        <v>141</v>
      </c>
    </row>
    <row r="877" spans="1:7" x14ac:dyDescent="0.3">
      <c r="A877">
        <v>2627300000</v>
      </c>
      <c r="B877" t="s">
        <v>49</v>
      </c>
      <c r="C877" t="s">
        <v>91</v>
      </c>
      <c r="D877" t="s">
        <v>22</v>
      </c>
      <c r="E877" s="13">
        <v>45627</v>
      </c>
      <c r="F877">
        <v>0</v>
      </c>
      <c r="G877" t="s">
        <v>141</v>
      </c>
    </row>
    <row r="878" spans="1:7" x14ac:dyDescent="0.3">
      <c r="A878">
        <v>2627300000</v>
      </c>
      <c r="B878" t="s">
        <v>49</v>
      </c>
      <c r="C878" t="s">
        <v>91</v>
      </c>
      <c r="D878" t="s">
        <v>22</v>
      </c>
      <c r="E878" s="13">
        <v>45658</v>
      </c>
      <c r="F878">
        <v>11847.925782</v>
      </c>
      <c r="G878" t="s">
        <v>141</v>
      </c>
    </row>
    <row r="879" spans="1:7" x14ac:dyDescent="0.3">
      <c r="A879">
        <v>2627300000</v>
      </c>
      <c r="B879" t="s">
        <v>49</v>
      </c>
      <c r="C879" t="s">
        <v>91</v>
      </c>
      <c r="D879" t="s">
        <v>22</v>
      </c>
      <c r="E879" s="13">
        <v>45689</v>
      </c>
      <c r="F879">
        <v>8517.8596140000009</v>
      </c>
      <c r="G879" t="s">
        <v>141</v>
      </c>
    </row>
    <row r="880" spans="1:7" x14ac:dyDescent="0.3">
      <c r="A880">
        <v>2627300000</v>
      </c>
      <c r="B880" t="s">
        <v>49</v>
      </c>
      <c r="C880" t="s">
        <v>91</v>
      </c>
      <c r="D880" t="s">
        <v>22</v>
      </c>
      <c r="E880" s="13">
        <v>45717</v>
      </c>
      <c r="F880">
        <v>2207.6099100000001</v>
      </c>
      <c r="G880" t="s">
        <v>141</v>
      </c>
    </row>
    <row r="881" spans="1:7" x14ac:dyDescent="0.3">
      <c r="A881">
        <v>2627300000</v>
      </c>
      <c r="B881" t="s">
        <v>49</v>
      </c>
      <c r="C881" t="s">
        <v>91</v>
      </c>
      <c r="D881" t="s">
        <v>22</v>
      </c>
      <c r="E881" s="13">
        <v>45748</v>
      </c>
      <c r="F881">
        <v>7067.7178110000004</v>
      </c>
      <c r="G881" t="s">
        <v>141</v>
      </c>
    </row>
    <row r="882" spans="1:7" x14ac:dyDescent="0.3">
      <c r="A882">
        <v>2627300000</v>
      </c>
      <c r="B882" t="s">
        <v>49</v>
      </c>
      <c r="C882" t="s">
        <v>91</v>
      </c>
      <c r="D882" t="s">
        <v>22</v>
      </c>
      <c r="E882" s="13">
        <v>45778</v>
      </c>
      <c r="F882">
        <v>12834.947466</v>
      </c>
      <c r="G882" t="s">
        <v>141</v>
      </c>
    </row>
    <row r="883" spans="1:7" x14ac:dyDescent="0.3">
      <c r="A883">
        <v>2627300000</v>
      </c>
      <c r="B883" t="s">
        <v>49</v>
      </c>
      <c r="C883" t="s">
        <v>91</v>
      </c>
      <c r="D883" t="s">
        <v>22</v>
      </c>
      <c r="E883" s="13">
        <v>45809</v>
      </c>
      <c r="F883">
        <v>22129.992621000001</v>
      </c>
      <c r="G883" t="s">
        <v>141</v>
      </c>
    </row>
    <row r="884" spans="1:7" x14ac:dyDescent="0.3">
      <c r="A884">
        <v>2627100000</v>
      </c>
      <c r="B884" t="s">
        <v>47</v>
      </c>
      <c r="C884" t="s">
        <v>91</v>
      </c>
      <c r="D884" t="s">
        <v>22</v>
      </c>
      <c r="E884" s="13">
        <v>45292</v>
      </c>
      <c r="F884">
        <v>0</v>
      </c>
      <c r="G884" t="s">
        <v>142</v>
      </c>
    </row>
    <row r="885" spans="1:7" x14ac:dyDescent="0.3">
      <c r="A885">
        <v>2627100000</v>
      </c>
      <c r="B885" t="s">
        <v>47</v>
      </c>
      <c r="C885" t="s">
        <v>91</v>
      </c>
      <c r="D885" t="s">
        <v>22</v>
      </c>
      <c r="E885" s="13">
        <v>45323</v>
      </c>
      <c r="F885">
        <v>0</v>
      </c>
      <c r="G885" t="s">
        <v>142</v>
      </c>
    </row>
    <row r="886" spans="1:7" x14ac:dyDescent="0.3">
      <c r="A886">
        <v>2627100000</v>
      </c>
      <c r="B886" t="s">
        <v>47</v>
      </c>
      <c r="C886" t="s">
        <v>91</v>
      </c>
      <c r="D886" t="s">
        <v>22</v>
      </c>
      <c r="E886" s="13">
        <v>45352</v>
      </c>
      <c r="F886">
        <v>0</v>
      </c>
      <c r="G886" t="s">
        <v>142</v>
      </c>
    </row>
    <row r="887" spans="1:7" x14ac:dyDescent="0.3">
      <c r="A887">
        <v>2627100000</v>
      </c>
      <c r="B887" t="s">
        <v>47</v>
      </c>
      <c r="C887" t="s">
        <v>91</v>
      </c>
      <c r="D887" t="s">
        <v>22</v>
      </c>
      <c r="E887" s="13">
        <v>45383</v>
      </c>
      <c r="F887">
        <v>0</v>
      </c>
      <c r="G887" t="s">
        <v>142</v>
      </c>
    </row>
    <row r="888" spans="1:7" x14ac:dyDescent="0.3">
      <c r="A888">
        <v>2627100000</v>
      </c>
      <c r="B888" t="s">
        <v>47</v>
      </c>
      <c r="C888" t="s">
        <v>91</v>
      </c>
      <c r="D888" t="s">
        <v>22</v>
      </c>
      <c r="E888" s="13">
        <v>45413</v>
      </c>
      <c r="F888">
        <v>0</v>
      </c>
      <c r="G888" t="s">
        <v>142</v>
      </c>
    </row>
    <row r="889" spans="1:7" x14ac:dyDescent="0.3">
      <c r="A889">
        <v>2627100000</v>
      </c>
      <c r="B889" t="s">
        <v>47</v>
      </c>
      <c r="C889" t="s">
        <v>91</v>
      </c>
      <c r="D889" t="s">
        <v>22</v>
      </c>
      <c r="E889" s="13">
        <v>45444</v>
      </c>
      <c r="F889">
        <v>0</v>
      </c>
      <c r="G889" t="s">
        <v>142</v>
      </c>
    </row>
    <row r="890" spans="1:7" x14ac:dyDescent="0.3">
      <c r="A890">
        <v>2627100000</v>
      </c>
      <c r="B890" t="s">
        <v>47</v>
      </c>
      <c r="C890" t="s">
        <v>91</v>
      </c>
      <c r="D890" t="s">
        <v>22</v>
      </c>
      <c r="E890" s="13">
        <v>45474</v>
      </c>
      <c r="F890">
        <v>0</v>
      </c>
      <c r="G890" t="s">
        <v>142</v>
      </c>
    </row>
    <row r="891" spans="1:7" x14ac:dyDescent="0.3">
      <c r="A891">
        <v>2627100000</v>
      </c>
      <c r="B891" t="s">
        <v>47</v>
      </c>
      <c r="C891" t="s">
        <v>91</v>
      </c>
      <c r="D891" t="s">
        <v>22</v>
      </c>
      <c r="E891" s="13">
        <v>45505</v>
      </c>
      <c r="F891">
        <v>0</v>
      </c>
      <c r="G891" t="s">
        <v>142</v>
      </c>
    </row>
    <row r="892" spans="1:7" x14ac:dyDescent="0.3">
      <c r="A892">
        <v>2627100000</v>
      </c>
      <c r="B892" t="s">
        <v>47</v>
      </c>
      <c r="C892" t="s">
        <v>91</v>
      </c>
      <c r="D892" t="s">
        <v>22</v>
      </c>
      <c r="E892" s="13">
        <v>45536</v>
      </c>
      <c r="F892">
        <v>0</v>
      </c>
      <c r="G892" t="s">
        <v>142</v>
      </c>
    </row>
    <row r="893" spans="1:7" x14ac:dyDescent="0.3">
      <c r="A893">
        <v>2627100000</v>
      </c>
      <c r="B893" t="s">
        <v>47</v>
      </c>
      <c r="C893" t="s">
        <v>91</v>
      </c>
      <c r="D893" t="s">
        <v>22</v>
      </c>
      <c r="E893" s="13">
        <v>45566</v>
      </c>
      <c r="F893">
        <v>0</v>
      </c>
      <c r="G893" t="s">
        <v>142</v>
      </c>
    </row>
    <row r="894" spans="1:7" x14ac:dyDescent="0.3">
      <c r="A894">
        <v>2627100000</v>
      </c>
      <c r="B894" t="s">
        <v>47</v>
      </c>
      <c r="C894" t="s">
        <v>91</v>
      </c>
      <c r="D894" t="s">
        <v>22</v>
      </c>
      <c r="E894" s="13">
        <v>45597</v>
      </c>
      <c r="F894">
        <v>0</v>
      </c>
      <c r="G894" t="s">
        <v>142</v>
      </c>
    </row>
    <row r="895" spans="1:7" x14ac:dyDescent="0.3">
      <c r="A895">
        <v>2627100000</v>
      </c>
      <c r="B895" t="s">
        <v>47</v>
      </c>
      <c r="C895" t="s">
        <v>91</v>
      </c>
      <c r="D895" t="s">
        <v>22</v>
      </c>
      <c r="E895" s="13">
        <v>45627</v>
      </c>
      <c r="F895">
        <v>0</v>
      </c>
      <c r="G895" t="s">
        <v>142</v>
      </c>
    </row>
    <row r="896" spans="1:7" x14ac:dyDescent="0.3">
      <c r="A896">
        <v>2627100000</v>
      </c>
      <c r="B896" t="s">
        <v>47</v>
      </c>
      <c r="C896" t="s">
        <v>91</v>
      </c>
      <c r="D896" t="s">
        <v>22</v>
      </c>
      <c r="E896" s="13">
        <v>45658</v>
      </c>
      <c r="F896">
        <v>5832.7068689999996</v>
      </c>
      <c r="G896" t="s">
        <v>142</v>
      </c>
    </row>
    <row r="897" spans="1:7" x14ac:dyDescent="0.3">
      <c r="A897">
        <v>2627100000</v>
      </c>
      <c r="B897" t="s">
        <v>47</v>
      </c>
      <c r="C897" t="s">
        <v>91</v>
      </c>
      <c r="D897" t="s">
        <v>22</v>
      </c>
      <c r="E897" s="13">
        <v>45689</v>
      </c>
      <c r="F897">
        <v>1808.122239</v>
      </c>
      <c r="G897" t="s">
        <v>142</v>
      </c>
    </row>
    <row r="898" spans="1:7" x14ac:dyDescent="0.3">
      <c r="A898">
        <v>2627100000</v>
      </c>
      <c r="B898" t="s">
        <v>47</v>
      </c>
      <c r="C898" t="s">
        <v>91</v>
      </c>
      <c r="D898" t="s">
        <v>22</v>
      </c>
      <c r="E898" s="13">
        <v>45717</v>
      </c>
      <c r="F898">
        <v>7327.0032659999997</v>
      </c>
      <c r="G898" t="s">
        <v>142</v>
      </c>
    </row>
    <row r="899" spans="1:7" x14ac:dyDescent="0.3">
      <c r="A899">
        <v>2627100000</v>
      </c>
      <c r="B899" t="s">
        <v>47</v>
      </c>
      <c r="C899" t="s">
        <v>91</v>
      </c>
      <c r="D899" t="s">
        <v>22</v>
      </c>
      <c r="E899" s="13">
        <v>45748</v>
      </c>
      <c r="F899">
        <v>7621.554897</v>
      </c>
      <c r="G899" t="s">
        <v>142</v>
      </c>
    </row>
    <row r="900" spans="1:7" x14ac:dyDescent="0.3">
      <c r="A900">
        <v>2627100000</v>
      </c>
      <c r="B900" t="s">
        <v>47</v>
      </c>
      <c r="C900" t="s">
        <v>91</v>
      </c>
      <c r="D900" t="s">
        <v>22</v>
      </c>
      <c r="E900" s="13">
        <v>45778</v>
      </c>
      <c r="F900">
        <v>2082.0939480000002</v>
      </c>
      <c r="G900" t="s">
        <v>142</v>
      </c>
    </row>
    <row r="901" spans="1:7" x14ac:dyDescent="0.3">
      <c r="A901">
        <v>2627100000</v>
      </c>
      <c r="B901" t="s">
        <v>47</v>
      </c>
      <c r="C901" t="s">
        <v>91</v>
      </c>
      <c r="D901" t="s">
        <v>22</v>
      </c>
      <c r="E901" s="13">
        <v>45809</v>
      </c>
      <c r="F901">
        <v>2059.214058</v>
      </c>
      <c r="G901" t="s">
        <v>142</v>
      </c>
    </row>
    <row r="902" spans="1:7" x14ac:dyDescent="0.3">
      <c r="A902">
        <v>2601100200</v>
      </c>
      <c r="B902" t="s">
        <v>21</v>
      </c>
      <c r="C902" t="s">
        <v>91</v>
      </c>
      <c r="D902" t="s">
        <v>21</v>
      </c>
      <c r="E902" s="13">
        <v>45292</v>
      </c>
      <c r="F902">
        <v>0</v>
      </c>
      <c r="G902" t="s">
        <v>143</v>
      </c>
    </row>
    <row r="903" spans="1:7" x14ac:dyDescent="0.3">
      <c r="A903">
        <v>2601100200</v>
      </c>
      <c r="B903" t="s">
        <v>21</v>
      </c>
      <c r="C903" t="s">
        <v>91</v>
      </c>
      <c r="D903" t="s">
        <v>21</v>
      </c>
      <c r="E903" s="13">
        <v>45323</v>
      </c>
      <c r="F903">
        <v>0</v>
      </c>
      <c r="G903" t="s">
        <v>143</v>
      </c>
    </row>
    <row r="904" spans="1:7" x14ac:dyDescent="0.3">
      <c r="A904">
        <v>2601100200</v>
      </c>
      <c r="B904" t="s">
        <v>21</v>
      </c>
      <c r="C904" t="s">
        <v>91</v>
      </c>
      <c r="D904" t="s">
        <v>21</v>
      </c>
      <c r="E904" s="13">
        <v>45352</v>
      </c>
      <c r="F904">
        <v>0</v>
      </c>
      <c r="G904" t="s">
        <v>143</v>
      </c>
    </row>
    <row r="905" spans="1:7" x14ac:dyDescent="0.3">
      <c r="A905">
        <v>2601100200</v>
      </c>
      <c r="B905" t="s">
        <v>21</v>
      </c>
      <c r="C905" t="s">
        <v>91</v>
      </c>
      <c r="D905" t="s">
        <v>21</v>
      </c>
      <c r="E905" s="13">
        <v>45383</v>
      </c>
      <c r="F905">
        <v>0</v>
      </c>
      <c r="G905" t="s">
        <v>143</v>
      </c>
    </row>
    <row r="906" spans="1:7" x14ac:dyDescent="0.3">
      <c r="A906">
        <v>2601100200</v>
      </c>
      <c r="B906" t="s">
        <v>21</v>
      </c>
      <c r="C906" t="s">
        <v>91</v>
      </c>
      <c r="D906" t="s">
        <v>21</v>
      </c>
      <c r="E906" s="13">
        <v>45413</v>
      </c>
      <c r="F906">
        <v>0</v>
      </c>
      <c r="G906" t="s">
        <v>143</v>
      </c>
    </row>
    <row r="907" spans="1:7" x14ac:dyDescent="0.3">
      <c r="A907">
        <v>2601100200</v>
      </c>
      <c r="B907" t="s">
        <v>21</v>
      </c>
      <c r="C907" t="s">
        <v>91</v>
      </c>
      <c r="D907" t="s">
        <v>21</v>
      </c>
      <c r="E907" s="13">
        <v>45444</v>
      </c>
      <c r="F907">
        <v>0</v>
      </c>
      <c r="G907" t="s">
        <v>143</v>
      </c>
    </row>
    <row r="908" spans="1:7" x14ac:dyDescent="0.3">
      <c r="A908">
        <v>2601100200</v>
      </c>
      <c r="B908" t="s">
        <v>21</v>
      </c>
      <c r="C908" t="s">
        <v>91</v>
      </c>
      <c r="D908" t="s">
        <v>21</v>
      </c>
      <c r="E908" s="13">
        <v>45474</v>
      </c>
      <c r="F908">
        <v>0</v>
      </c>
      <c r="G908" t="s">
        <v>143</v>
      </c>
    </row>
    <row r="909" spans="1:7" x14ac:dyDescent="0.3">
      <c r="A909">
        <v>2601100200</v>
      </c>
      <c r="B909" t="s">
        <v>21</v>
      </c>
      <c r="C909" t="s">
        <v>91</v>
      </c>
      <c r="D909" t="s">
        <v>21</v>
      </c>
      <c r="E909" s="13">
        <v>45505</v>
      </c>
      <c r="F909">
        <v>0</v>
      </c>
      <c r="G909" t="s">
        <v>143</v>
      </c>
    </row>
    <row r="910" spans="1:7" x14ac:dyDescent="0.3">
      <c r="A910">
        <v>2601100200</v>
      </c>
      <c r="B910" t="s">
        <v>21</v>
      </c>
      <c r="C910" t="s">
        <v>91</v>
      </c>
      <c r="D910" t="s">
        <v>21</v>
      </c>
      <c r="E910" s="13">
        <v>45536</v>
      </c>
      <c r="F910">
        <v>0</v>
      </c>
      <c r="G910" t="s">
        <v>143</v>
      </c>
    </row>
    <row r="911" spans="1:7" x14ac:dyDescent="0.3">
      <c r="A911">
        <v>2601100200</v>
      </c>
      <c r="B911" t="s">
        <v>21</v>
      </c>
      <c r="C911" t="s">
        <v>91</v>
      </c>
      <c r="D911" t="s">
        <v>21</v>
      </c>
      <c r="E911" s="13">
        <v>45566</v>
      </c>
      <c r="F911">
        <v>0</v>
      </c>
      <c r="G911" t="s">
        <v>143</v>
      </c>
    </row>
    <row r="912" spans="1:7" x14ac:dyDescent="0.3">
      <c r="A912">
        <v>2601100200</v>
      </c>
      <c r="B912" t="s">
        <v>21</v>
      </c>
      <c r="C912" t="s">
        <v>91</v>
      </c>
      <c r="D912" t="s">
        <v>21</v>
      </c>
      <c r="E912" s="13">
        <v>45597</v>
      </c>
      <c r="F912">
        <v>0</v>
      </c>
      <c r="G912" t="s">
        <v>143</v>
      </c>
    </row>
    <row r="913" spans="1:7" x14ac:dyDescent="0.3">
      <c r="A913">
        <v>2601100200</v>
      </c>
      <c r="B913" t="s">
        <v>21</v>
      </c>
      <c r="C913" t="s">
        <v>91</v>
      </c>
      <c r="D913" t="s">
        <v>21</v>
      </c>
      <c r="E913" s="13">
        <v>45627</v>
      </c>
      <c r="F913">
        <v>0</v>
      </c>
      <c r="G913" t="s">
        <v>143</v>
      </c>
    </row>
    <row r="914" spans="1:7" x14ac:dyDescent="0.3">
      <c r="A914">
        <v>2601100200</v>
      </c>
      <c r="B914" t="s">
        <v>21</v>
      </c>
      <c r="C914" t="s">
        <v>91</v>
      </c>
      <c r="D914" t="s">
        <v>21</v>
      </c>
      <c r="E914" s="13">
        <v>45658</v>
      </c>
      <c r="F914">
        <v>12843.859842</v>
      </c>
      <c r="G914" t="s">
        <v>143</v>
      </c>
    </row>
    <row r="915" spans="1:7" x14ac:dyDescent="0.3">
      <c r="A915">
        <v>2601100200</v>
      </c>
      <c r="B915" t="s">
        <v>21</v>
      </c>
      <c r="C915" t="s">
        <v>91</v>
      </c>
      <c r="D915" t="s">
        <v>21</v>
      </c>
      <c r="E915" s="13">
        <v>45689</v>
      </c>
      <c r="F915">
        <v>9002.1466259999997</v>
      </c>
      <c r="G915" t="s">
        <v>143</v>
      </c>
    </row>
    <row r="916" spans="1:7" x14ac:dyDescent="0.3">
      <c r="A916">
        <v>2601100200</v>
      </c>
      <c r="B916" t="s">
        <v>21</v>
      </c>
      <c r="C916" t="s">
        <v>91</v>
      </c>
      <c r="D916" t="s">
        <v>21</v>
      </c>
      <c r="E916" s="13">
        <v>45717</v>
      </c>
      <c r="F916">
        <v>674.07030899999995</v>
      </c>
      <c r="G916" t="s">
        <v>143</v>
      </c>
    </row>
    <row r="917" spans="1:7" x14ac:dyDescent="0.3">
      <c r="A917">
        <v>2601100200</v>
      </c>
      <c r="B917" t="s">
        <v>21</v>
      </c>
      <c r="C917" t="s">
        <v>91</v>
      </c>
      <c r="D917" t="s">
        <v>21</v>
      </c>
      <c r="E917" s="13">
        <v>45748</v>
      </c>
      <c r="F917">
        <v>782.94744000000003</v>
      </c>
      <c r="G917" t="s">
        <v>143</v>
      </c>
    </row>
    <row r="918" spans="1:7" x14ac:dyDescent="0.3">
      <c r="A918">
        <v>2601100200</v>
      </c>
      <c r="B918" t="s">
        <v>21</v>
      </c>
      <c r="C918" t="s">
        <v>91</v>
      </c>
      <c r="D918" t="s">
        <v>21</v>
      </c>
      <c r="E918" s="13">
        <v>45778</v>
      </c>
      <c r="F918">
        <v>1103.4935009999999</v>
      </c>
      <c r="G918" t="s">
        <v>143</v>
      </c>
    </row>
    <row r="919" spans="1:7" x14ac:dyDescent="0.3">
      <c r="A919">
        <v>2601100200</v>
      </c>
      <c r="B919" t="s">
        <v>21</v>
      </c>
      <c r="C919" t="s">
        <v>91</v>
      </c>
      <c r="D919" t="s">
        <v>21</v>
      </c>
      <c r="E919" s="13">
        <v>45809</v>
      </c>
      <c r="F919">
        <v>4852.5611310000004</v>
      </c>
      <c r="G919" t="s">
        <v>143</v>
      </c>
    </row>
    <row r="920" spans="1:7" x14ac:dyDescent="0.3">
      <c r="A920">
        <v>2633100000</v>
      </c>
      <c r="B920" t="s">
        <v>44</v>
      </c>
      <c r="C920" t="s">
        <v>91</v>
      </c>
      <c r="D920" t="s">
        <v>20</v>
      </c>
      <c r="E920" s="13">
        <v>45292</v>
      </c>
      <c r="F920">
        <v>0</v>
      </c>
      <c r="G920" t="s">
        <v>144</v>
      </c>
    </row>
    <row r="921" spans="1:7" x14ac:dyDescent="0.3">
      <c r="A921">
        <v>2633100000</v>
      </c>
      <c r="B921" t="s">
        <v>44</v>
      </c>
      <c r="C921" t="s">
        <v>91</v>
      </c>
      <c r="D921" t="s">
        <v>20</v>
      </c>
      <c r="E921" s="13">
        <v>45323</v>
      </c>
      <c r="F921">
        <v>0</v>
      </c>
      <c r="G921" t="s">
        <v>144</v>
      </c>
    </row>
    <row r="922" spans="1:7" x14ac:dyDescent="0.3">
      <c r="A922">
        <v>2633100000</v>
      </c>
      <c r="B922" t="s">
        <v>44</v>
      </c>
      <c r="C922" t="s">
        <v>91</v>
      </c>
      <c r="D922" t="s">
        <v>20</v>
      </c>
      <c r="E922" s="13">
        <v>45352</v>
      </c>
      <c r="F922">
        <v>0</v>
      </c>
      <c r="G922" t="s">
        <v>144</v>
      </c>
    </row>
    <row r="923" spans="1:7" x14ac:dyDescent="0.3">
      <c r="A923">
        <v>2633100000</v>
      </c>
      <c r="B923" t="s">
        <v>44</v>
      </c>
      <c r="C923" t="s">
        <v>91</v>
      </c>
      <c r="D923" t="s">
        <v>20</v>
      </c>
      <c r="E923" s="13">
        <v>45383</v>
      </c>
      <c r="F923">
        <v>0</v>
      </c>
      <c r="G923" t="s">
        <v>144</v>
      </c>
    </row>
    <row r="924" spans="1:7" x14ac:dyDescent="0.3">
      <c r="A924">
        <v>2633100000</v>
      </c>
      <c r="B924" t="s">
        <v>44</v>
      </c>
      <c r="C924" t="s">
        <v>91</v>
      </c>
      <c r="D924" t="s">
        <v>20</v>
      </c>
      <c r="E924" s="13">
        <v>45413</v>
      </c>
      <c r="F924">
        <v>0</v>
      </c>
      <c r="G924" t="s">
        <v>144</v>
      </c>
    </row>
    <row r="925" spans="1:7" x14ac:dyDescent="0.3">
      <c r="A925">
        <v>2633100000</v>
      </c>
      <c r="B925" t="s">
        <v>44</v>
      </c>
      <c r="C925" t="s">
        <v>91</v>
      </c>
      <c r="D925" t="s">
        <v>20</v>
      </c>
      <c r="E925" s="13">
        <v>45444</v>
      </c>
      <c r="F925">
        <v>0</v>
      </c>
      <c r="G925" t="s">
        <v>144</v>
      </c>
    </row>
    <row r="926" spans="1:7" x14ac:dyDescent="0.3">
      <c r="A926">
        <v>2633100000</v>
      </c>
      <c r="B926" t="s">
        <v>44</v>
      </c>
      <c r="C926" t="s">
        <v>91</v>
      </c>
      <c r="D926" t="s">
        <v>20</v>
      </c>
      <c r="E926" s="13">
        <v>45474</v>
      </c>
      <c r="F926">
        <v>0</v>
      </c>
      <c r="G926" t="s">
        <v>144</v>
      </c>
    </row>
    <row r="927" spans="1:7" x14ac:dyDescent="0.3">
      <c r="A927">
        <v>2633100000</v>
      </c>
      <c r="B927" t="s">
        <v>44</v>
      </c>
      <c r="C927" t="s">
        <v>91</v>
      </c>
      <c r="D927" t="s">
        <v>20</v>
      </c>
      <c r="E927" s="13">
        <v>45505</v>
      </c>
      <c r="F927">
        <v>0</v>
      </c>
      <c r="G927" t="s">
        <v>144</v>
      </c>
    </row>
    <row r="928" spans="1:7" x14ac:dyDescent="0.3">
      <c r="A928">
        <v>2633100000</v>
      </c>
      <c r="B928" t="s">
        <v>44</v>
      </c>
      <c r="C928" t="s">
        <v>91</v>
      </c>
      <c r="D928" t="s">
        <v>20</v>
      </c>
      <c r="E928" s="13">
        <v>45536</v>
      </c>
      <c r="F928">
        <v>0</v>
      </c>
      <c r="G928" t="s">
        <v>144</v>
      </c>
    </row>
    <row r="929" spans="1:7" x14ac:dyDescent="0.3">
      <c r="A929">
        <v>2633100000</v>
      </c>
      <c r="B929" t="s">
        <v>44</v>
      </c>
      <c r="C929" t="s">
        <v>91</v>
      </c>
      <c r="D929" t="s">
        <v>20</v>
      </c>
      <c r="E929" s="13">
        <v>45566</v>
      </c>
      <c r="F929">
        <v>0</v>
      </c>
      <c r="G929" t="s">
        <v>144</v>
      </c>
    </row>
    <row r="930" spans="1:7" x14ac:dyDescent="0.3">
      <c r="A930">
        <v>2633100000</v>
      </c>
      <c r="B930" t="s">
        <v>44</v>
      </c>
      <c r="C930" t="s">
        <v>91</v>
      </c>
      <c r="D930" t="s">
        <v>20</v>
      </c>
      <c r="E930" s="13">
        <v>45597</v>
      </c>
      <c r="F930">
        <v>0</v>
      </c>
      <c r="G930" t="s">
        <v>144</v>
      </c>
    </row>
    <row r="931" spans="1:7" x14ac:dyDescent="0.3">
      <c r="A931">
        <v>2633100000</v>
      </c>
      <c r="B931" t="s">
        <v>44</v>
      </c>
      <c r="C931" t="s">
        <v>91</v>
      </c>
      <c r="D931" t="s">
        <v>20</v>
      </c>
      <c r="E931" s="13">
        <v>45627</v>
      </c>
      <c r="F931">
        <v>0</v>
      </c>
      <c r="G931" t="s">
        <v>144</v>
      </c>
    </row>
    <row r="932" spans="1:7" x14ac:dyDescent="0.3">
      <c r="A932">
        <v>2633100000</v>
      </c>
      <c r="B932" t="s">
        <v>44</v>
      </c>
      <c r="C932" t="s">
        <v>91</v>
      </c>
      <c r="D932" t="s">
        <v>20</v>
      </c>
      <c r="E932" s="13">
        <v>45658</v>
      </c>
      <c r="F932">
        <v>71860.823099999994</v>
      </c>
      <c r="G932" t="s">
        <v>144</v>
      </c>
    </row>
    <row r="933" spans="1:7" x14ac:dyDescent="0.3">
      <c r="A933">
        <v>2633100000</v>
      </c>
      <c r="B933" t="s">
        <v>44</v>
      </c>
      <c r="C933" t="s">
        <v>91</v>
      </c>
      <c r="D933" t="s">
        <v>20</v>
      </c>
      <c r="E933" s="13">
        <v>45689</v>
      </c>
      <c r="F933">
        <v>13974.294114</v>
      </c>
      <c r="G933" t="s">
        <v>144</v>
      </c>
    </row>
    <row r="934" spans="1:7" x14ac:dyDescent="0.3">
      <c r="A934">
        <v>2633100000</v>
      </c>
      <c r="B934" t="s">
        <v>44</v>
      </c>
      <c r="C934" t="s">
        <v>91</v>
      </c>
      <c r="D934" t="s">
        <v>20</v>
      </c>
      <c r="E934" s="13">
        <v>45717</v>
      </c>
      <c r="F934">
        <v>9383.5460070000008</v>
      </c>
      <c r="G934" t="s">
        <v>144</v>
      </c>
    </row>
    <row r="935" spans="1:7" x14ac:dyDescent="0.3">
      <c r="A935">
        <v>2633100000</v>
      </c>
      <c r="B935" t="s">
        <v>44</v>
      </c>
      <c r="C935" t="s">
        <v>91</v>
      </c>
      <c r="D935" t="s">
        <v>20</v>
      </c>
      <c r="E935" s="13">
        <v>45748</v>
      </c>
      <c r="F935">
        <v>10880.322056999999</v>
      </c>
      <c r="G935" t="s">
        <v>144</v>
      </c>
    </row>
    <row r="936" spans="1:7" x14ac:dyDescent="0.3">
      <c r="A936">
        <v>2633100000</v>
      </c>
      <c r="B936" t="s">
        <v>44</v>
      </c>
      <c r="C936" t="s">
        <v>91</v>
      </c>
      <c r="D936" t="s">
        <v>20</v>
      </c>
      <c r="E936" s="13">
        <v>45778</v>
      </c>
      <c r="F936">
        <v>10131.934031999999</v>
      </c>
      <c r="G936" t="s">
        <v>144</v>
      </c>
    </row>
    <row r="937" spans="1:7" x14ac:dyDescent="0.3">
      <c r="A937">
        <v>2633100000</v>
      </c>
      <c r="B937" t="s">
        <v>44</v>
      </c>
      <c r="C937" t="s">
        <v>91</v>
      </c>
      <c r="D937" t="s">
        <v>20</v>
      </c>
      <c r="E937" s="13">
        <v>45809</v>
      </c>
      <c r="F937">
        <v>10131.934031999999</v>
      </c>
      <c r="G937" t="s">
        <v>144</v>
      </c>
    </row>
    <row r="938" spans="1:7" x14ac:dyDescent="0.3">
      <c r="A938">
        <v>2633600000</v>
      </c>
      <c r="B938" t="s">
        <v>45</v>
      </c>
      <c r="C938" t="s">
        <v>91</v>
      </c>
      <c r="D938" t="s">
        <v>20</v>
      </c>
      <c r="E938" s="13">
        <v>45292</v>
      </c>
      <c r="F938">
        <v>0</v>
      </c>
      <c r="G938" t="s">
        <v>145</v>
      </c>
    </row>
    <row r="939" spans="1:7" x14ac:dyDescent="0.3">
      <c r="A939">
        <v>2633600000</v>
      </c>
      <c r="B939" t="s">
        <v>45</v>
      </c>
      <c r="C939" t="s">
        <v>91</v>
      </c>
      <c r="D939" t="s">
        <v>20</v>
      </c>
      <c r="E939" s="13">
        <v>45323</v>
      </c>
      <c r="F939">
        <v>0</v>
      </c>
      <c r="G939" t="s">
        <v>145</v>
      </c>
    </row>
    <row r="940" spans="1:7" x14ac:dyDescent="0.3">
      <c r="A940">
        <v>2633600000</v>
      </c>
      <c r="B940" t="s">
        <v>45</v>
      </c>
      <c r="C940" t="s">
        <v>91</v>
      </c>
      <c r="D940" t="s">
        <v>20</v>
      </c>
      <c r="E940" s="13">
        <v>45352</v>
      </c>
      <c r="F940">
        <v>0</v>
      </c>
      <c r="G940" t="s">
        <v>145</v>
      </c>
    </row>
    <row r="941" spans="1:7" x14ac:dyDescent="0.3">
      <c r="A941">
        <v>2633600000</v>
      </c>
      <c r="B941" t="s">
        <v>45</v>
      </c>
      <c r="C941" t="s">
        <v>91</v>
      </c>
      <c r="D941" t="s">
        <v>20</v>
      </c>
      <c r="E941" s="13">
        <v>45383</v>
      </c>
      <c r="F941">
        <v>0</v>
      </c>
      <c r="G941" t="s">
        <v>145</v>
      </c>
    </row>
    <row r="942" spans="1:7" x14ac:dyDescent="0.3">
      <c r="A942">
        <v>2633600000</v>
      </c>
      <c r="B942" t="s">
        <v>45</v>
      </c>
      <c r="C942" t="s">
        <v>91</v>
      </c>
      <c r="D942" t="s">
        <v>20</v>
      </c>
      <c r="E942" s="13">
        <v>45413</v>
      </c>
      <c r="F942">
        <v>0</v>
      </c>
      <c r="G942" t="s">
        <v>145</v>
      </c>
    </row>
    <row r="943" spans="1:7" x14ac:dyDescent="0.3">
      <c r="A943">
        <v>2633600000</v>
      </c>
      <c r="B943" t="s">
        <v>45</v>
      </c>
      <c r="C943" t="s">
        <v>91</v>
      </c>
      <c r="D943" t="s">
        <v>20</v>
      </c>
      <c r="E943" s="13">
        <v>45444</v>
      </c>
      <c r="F943">
        <v>0</v>
      </c>
      <c r="G943" t="s">
        <v>145</v>
      </c>
    </row>
    <row r="944" spans="1:7" x14ac:dyDescent="0.3">
      <c r="A944">
        <v>2633600000</v>
      </c>
      <c r="B944" t="s">
        <v>45</v>
      </c>
      <c r="C944" t="s">
        <v>91</v>
      </c>
      <c r="D944" t="s">
        <v>20</v>
      </c>
      <c r="E944" s="13">
        <v>45474</v>
      </c>
      <c r="F944">
        <v>0</v>
      </c>
      <c r="G944" t="s">
        <v>145</v>
      </c>
    </row>
    <row r="945" spans="1:7" x14ac:dyDescent="0.3">
      <c r="A945">
        <v>2633600000</v>
      </c>
      <c r="B945" t="s">
        <v>45</v>
      </c>
      <c r="C945" t="s">
        <v>91</v>
      </c>
      <c r="D945" t="s">
        <v>20</v>
      </c>
      <c r="E945" s="13">
        <v>45505</v>
      </c>
      <c r="F945">
        <v>0</v>
      </c>
      <c r="G945" t="s">
        <v>145</v>
      </c>
    </row>
    <row r="946" spans="1:7" x14ac:dyDescent="0.3">
      <c r="A946">
        <v>2633600000</v>
      </c>
      <c r="B946" t="s">
        <v>45</v>
      </c>
      <c r="C946" t="s">
        <v>91</v>
      </c>
      <c r="D946" t="s">
        <v>20</v>
      </c>
      <c r="E946" s="13">
        <v>45536</v>
      </c>
      <c r="F946">
        <v>0</v>
      </c>
      <c r="G946" t="s">
        <v>145</v>
      </c>
    </row>
    <row r="947" spans="1:7" x14ac:dyDescent="0.3">
      <c r="A947">
        <v>2633600000</v>
      </c>
      <c r="B947" t="s">
        <v>45</v>
      </c>
      <c r="C947" t="s">
        <v>91</v>
      </c>
      <c r="D947" t="s">
        <v>20</v>
      </c>
      <c r="E947" s="13">
        <v>45566</v>
      </c>
      <c r="F947">
        <v>0</v>
      </c>
      <c r="G947" t="s">
        <v>145</v>
      </c>
    </row>
    <row r="948" spans="1:7" x14ac:dyDescent="0.3">
      <c r="A948">
        <v>2633600000</v>
      </c>
      <c r="B948" t="s">
        <v>45</v>
      </c>
      <c r="C948" t="s">
        <v>91</v>
      </c>
      <c r="D948" t="s">
        <v>20</v>
      </c>
      <c r="E948" s="13">
        <v>45597</v>
      </c>
      <c r="F948">
        <v>0</v>
      </c>
      <c r="G948" t="s">
        <v>145</v>
      </c>
    </row>
    <row r="949" spans="1:7" x14ac:dyDescent="0.3">
      <c r="A949">
        <v>2633600000</v>
      </c>
      <c r="B949" t="s">
        <v>45</v>
      </c>
      <c r="C949" t="s">
        <v>91</v>
      </c>
      <c r="D949" t="s">
        <v>20</v>
      </c>
      <c r="E949" s="13">
        <v>45627</v>
      </c>
      <c r="F949">
        <v>0</v>
      </c>
      <c r="G949" t="s">
        <v>145</v>
      </c>
    </row>
    <row r="950" spans="1:7" x14ac:dyDescent="0.3">
      <c r="A950">
        <v>2633600000</v>
      </c>
      <c r="B950" t="s">
        <v>45</v>
      </c>
      <c r="C950" t="s">
        <v>91</v>
      </c>
      <c r="D950" t="s">
        <v>20</v>
      </c>
      <c r="E950" s="13">
        <v>45658</v>
      </c>
      <c r="F950">
        <v>27026.097417000001</v>
      </c>
      <c r="G950" t="s">
        <v>145</v>
      </c>
    </row>
    <row r="951" spans="1:7" x14ac:dyDescent="0.3">
      <c r="A951">
        <v>2633600000</v>
      </c>
      <c r="B951" t="s">
        <v>45</v>
      </c>
      <c r="C951" t="s">
        <v>91</v>
      </c>
      <c r="D951" t="s">
        <v>20</v>
      </c>
      <c r="E951" s="13">
        <v>45689</v>
      </c>
      <c r="F951">
        <v>28340.037990000001</v>
      </c>
      <c r="G951" t="s">
        <v>145</v>
      </c>
    </row>
    <row r="952" spans="1:7" x14ac:dyDescent="0.3">
      <c r="A952">
        <v>2633600000</v>
      </c>
      <c r="B952" t="s">
        <v>45</v>
      </c>
      <c r="C952" t="s">
        <v>91</v>
      </c>
      <c r="D952" t="s">
        <v>20</v>
      </c>
      <c r="E952" s="13">
        <v>45717</v>
      </c>
      <c r="F952">
        <v>28256.017284000001</v>
      </c>
      <c r="G952" t="s">
        <v>145</v>
      </c>
    </row>
    <row r="953" spans="1:7" x14ac:dyDescent="0.3">
      <c r="A953">
        <v>2633600000</v>
      </c>
      <c r="B953" t="s">
        <v>45</v>
      </c>
      <c r="C953" t="s">
        <v>91</v>
      </c>
      <c r="D953" t="s">
        <v>20</v>
      </c>
      <c r="E953" s="13">
        <v>45748</v>
      </c>
      <c r="F953">
        <v>25741.912680000001</v>
      </c>
      <c r="G953" t="s">
        <v>145</v>
      </c>
    </row>
    <row r="954" spans="1:7" x14ac:dyDescent="0.3">
      <c r="A954">
        <v>2633600000</v>
      </c>
      <c r="B954" t="s">
        <v>45</v>
      </c>
      <c r="C954" t="s">
        <v>91</v>
      </c>
      <c r="D954" t="s">
        <v>20</v>
      </c>
      <c r="E954" s="13">
        <v>45778</v>
      </c>
      <c r="F954">
        <v>24393.041343000001</v>
      </c>
      <c r="G954" t="s">
        <v>145</v>
      </c>
    </row>
    <row r="955" spans="1:7" x14ac:dyDescent="0.3">
      <c r="A955">
        <v>2633600000</v>
      </c>
      <c r="B955" t="s">
        <v>45</v>
      </c>
      <c r="C955" t="s">
        <v>91</v>
      </c>
      <c r="D955" t="s">
        <v>20</v>
      </c>
      <c r="E955" s="13">
        <v>45809</v>
      </c>
      <c r="F955">
        <v>25141.213746000001</v>
      </c>
      <c r="G955" t="s">
        <v>145</v>
      </c>
    </row>
    <row r="956" spans="1:7" x14ac:dyDescent="0.3">
      <c r="A956">
        <v>2616100000</v>
      </c>
      <c r="B956" t="s">
        <v>46</v>
      </c>
      <c r="C956" t="s">
        <v>91</v>
      </c>
      <c r="D956" t="s">
        <v>20</v>
      </c>
      <c r="E956" s="13">
        <v>45292</v>
      </c>
      <c r="F956">
        <v>0</v>
      </c>
      <c r="G956" t="s">
        <v>146</v>
      </c>
    </row>
    <row r="957" spans="1:7" x14ac:dyDescent="0.3">
      <c r="A957">
        <v>2616100000</v>
      </c>
      <c r="B957" t="s">
        <v>46</v>
      </c>
      <c r="C957" t="s">
        <v>91</v>
      </c>
      <c r="D957" t="s">
        <v>20</v>
      </c>
      <c r="E957" s="13">
        <v>45323</v>
      </c>
      <c r="F957">
        <v>0</v>
      </c>
      <c r="G957" t="s">
        <v>146</v>
      </c>
    </row>
    <row r="958" spans="1:7" x14ac:dyDescent="0.3">
      <c r="A958">
        <v>2616100000</v>
      </c>
      <c r="B958" t="s">
        <v>46</v>
      </c>
      <c r="C958" t="s">
        <v>91</v>
      </c>
      <c r="D958" t="s">
        <v>20</v>
      </c>
      <c r="E958" s="13">
        <v>45352</v>
      </c>
      <c r="F958">
        <v>0</v>
      </c>
      <c r="G958" t="s">
        <v>146</v>
      </c>
    </row>
    <row r="959" spans="1:7" x14ac:dyDescent="0.3">
      <c r="A959">
        <v>2616100000</v>
      </c>
      <c r="B959" t="s">
        <v>46</v>
      </c>
      <c r="C959" t="s">
        <v>91</v>
      </c>
      <c r="D959" t="s">
        <v>20</v>
      </c>
      <c r="E959" s="13">
        <v>45383</v>
      </c>
      <c r="F959">
        <v>0</v>
      </c>
      <c r="G959" t="s">
        <v>146</v>
      </c>
    </row>
    <row r="960" spans="1:7" x14ac:dyDescent="0.3">
      <c r="A960">
        <v>2616100000</v>
      </c>
      <c r="B960" t="s">
        <v>46</v>
      </c>
      <c r="C960" t="s">
        <v>91</v>
      </c>
      <c r="D960" t="s">
        <v>20</v>
      </c>
      <c r="E960" s="13">
        <v>45413</v>
      </c>
      <c r="F960">
        <v>0</v>
      </c>
      <c r="G960" t="s">
        <v>146</v>
      </c>
    </row>
    <row r="961" spans="1:7" x14ac:dyDescent="0.3">
      <c r="A961">
        <v>2616100000</v>
      </c>
      <c r="B961" t="s">
        <v>46</v>
      </c>
      <c r="C961" t="s">
        <v>91</v>
      </c>
      <c r="D961" t="s">
        <v>20</v>
      </c>
      <c r="E961" s="13">
        <v>45444</v>
      </c>
      <c r="F961">
        <v>0</v>
      </c>
      <c r="G961" t="s">
        <v>146</v>
      </c>
    </row>
    <row r="962" spans="1:7" x14ac:dyDescent="0.3">
      <c r="A962">
        <v>2616100000</v>
      </c>
      <c r="B962" t="s">
        <v>46</v>
      </c>
      <c r="C962" t="s">
        <v>91</v>
      </c>
      <c r="D962" t="s">
        <v>20</v>
      </c>
      <c r="E962" s="13">
        <v>45474</v>
      </c>
      <c r="F962">
        <v>0</v>
      </c>
      <c r="G962" t="s">
        <v>146</v>
      </c>
    </row>
    <row r="963" spans="1:7" x14ac:dyDescent="0.3">
      <c r="A963">
        <v>2616100000</v>
      </c>
      <c r="B963" t="s">
        <v>46</v>
      </c>
      <c r="C963" t="s">
        <v>91</v>
      </c>
      <c r="D963" t="s">
        <v>20</v>
      </c>
      <c r="E963" s="13">
        <v>45505</v>
      </c>
      <c r="F963">
        <v>0</v>
      </c>
      <c r="G963" t="s">
        <v>146</v>
      </c>
    </row>
    <row r="964" spans="1:7" x14ac:dyDescent="0.3">
      <c r="A964">
        <v>2616100000</v>
      </c>
      <c r="B964" t="s">
        <v>46</v>
      </c>
      <c r="C964" t="s">
        <v>91</v>
      </c>
      <c r="D964" t="s">
        <v>20</v>
      </c>
      <c r="E964" s="13">
        <v>45536</v>
      </c>
      <c r="F964">
        <v>0</v>
      </c>
      <c r="G964" t="s">
        <v>146</v>
      </c>
    </row>
    <row r="965" spans="1:7" x14ac:dyDescent="0.3">
      <c r="A965">
        <v>2616100000</v>
      </c>
      <c r="B965" t="s">
        <v>46</v>
      </c>
      <c r="C965" t="s">
        <v>91</v>
      </c>
      <c r="D965" t="s">
        <v>20</v>
      </c>
      <c r="E965" s="13">
        <v>45566</v>
      </c>
      <c r="F965">
        <v>0</v>
      </c>
      <c r="G965" t="s">
        <v>146</v>
      </c>
    </row>
    <row r="966" spans="1:7" x14ac:dyDescent="0.3">
      <c r="A966">
        <v>2616100000</v>
      </c>
      <c r="B966" t="s">
        <v>46</v>
      </c>
      <c r="C966" t="s">
        <v>91</v>
      </c>
      <c r="D966" t="s">
        <v>20</v>
      </c>
      <c r="E966" s="13">
        <v>45597</v>
      </c>
      <c r="F966">
        <v>0</v>
      </c>
      <c r="G966" t="s">
        <v>146</v>
      </c>
    </row>
    <row r="967" spans="1:7" x14ac:dyDescent="0.3">
      <c r="A967">
        <v>2616100000</v>
      </c>
      <c r="B967" t="s">
        <v>46</v>
      </c>
      <c r="C967" t="s">
        <v>91</v>
      </c>
      <c r="D967" t="s">
        <v>20</v>
      </c>
      <c r="E967" s="13">
        <v>45627</v>
      </c>
      <c r="F967">
        <v>0</v>
      </c>
      <c r="G967" t="s">
        <v>146</v>
      </c>
    </row>
    <row r="968" spans="1:7" x14ac:dyDescent="0.3">
      <c r="A968">
        <v>2616100000</v>
      </c>
      <c r="B968" t="s">
        <v>46</v>
      </c>
      <c r="C968" t="s">
        <v>91</v>
      </c>
      <c r="D968" t="s">
        <v>20</v>
      </c>
      <c r="E968" s="13">
        <v>45658</v>
      </c>
      <c r="F968">
        <v>0</v>
      </c>
      <c r="G968" t="s">
        <v>146</v>
      </c>
    </row>
    <row r="969" spans="1:7" x14ac:dyDescent="0.3">
      <c r="A969">
        <v>2616100000</v>
      </c>
      <c r="B969" t="s">
        <v>46</v>
      </c>
      <c r="C969" t="s">
        <v>91</v>
      </c>
      <c r="D969" t="s">
        <v>20</v>
      </c>
      <c r="E969" s="13">
        <v>45689</v>
      </c>
      <c r="F969">
        <v>0</v>
      </c>
      <c r="G969" t="s">
        <v>146</v>
      </c>
    </row>
    <row r="970" spans="1:7" x14ac:dyDescent="0.3">
      <c r="A970">
        <v>2616100000</v>
      </c>
      <c r="B970" t="s">
        <v>46</v>
      </c>
      <c r="C970" t="s">
        <v>91</v>
      </c>
      <c r="D970" t="s">
        <v>20</v>
      </c>
      <c r="E970" s="13">
        <v>45717</v>
      </c>
      <c r="F970">
        <v>38153.678012999997</v>
      </c>
      <c r="G970" t="s">
        <v>146</v>
      </c>
    </row>
    <row r="971" spans="1:7" x14ac:dyDescent="0.3">
      <c r="A971">
        <v>2616100000</v>
      </c>
      <c r="B971" t="s">
        <v>46</v>
      </c>
      <c r="C971" t="s">
        <v>91</v>
      </c>
      <c r="D971" t="s">
        <v>20</v>
      </c>
      <c r="E971" s="13">
        <v>45748</v>
      </c>
      <c r="F971">
        <v>0</v>
      </c>
      <c r="G971" t="s">
        <v>146</v>
      </c>
    </row>
    <row r="972" spans="1:7" x14ac:dyDescent="0.3">
      <c r="A972">
        <v>2616100000</v>
      </c>
      <c r="B972" t="s">
        <v>46</v>
      </c>
      <c r="C972" t="s">
        <v>91</v>
      </c>
      <c r="D972" t="s">
        <v>20</v>
      </c>
      <c r="E972" s="13">
        <v>45778</v>
      </c>
      <c r="F972">
        <v>0</v>
      </c>
      <c r="G972" t="s">
        <v>146</v>
      </c>
    </row>
    <row r="973" spans="1:7" x14ac:dyDescent="0.3">
      <c r="A973">
        <v>2616100000</v>
      </c>
      <c r="B973" t="s">
        <v>46</v>
      </c>
      <c r="C973" t="s">
        <v>91</v>
      </c>
      <c r="D973" t="s">
        <v>20</v>
      </c>
      <c r="E973" s="13">
        <v>45809</v>
      </c>
      <c r="F973">
        <v>0</v>
      </c>
      <c r="G973" t="s">
        <v>146</v>
      </c>
    </row>
    <row r="974" spans="1:7" x14ac:dyDescent="0.3">
      <c r="C974" t="s">
        <v>89</v>
      </c>
      <c r="E974" s="13">
        <v>45292</v>
      </c>
      <c r="F974">
        <v>6903611.9428175651</v>
      </c>
      <c r="G974" t="s">
        <v>89</v>
      </c>
    </row>
    <row r="975" spans="1:7" x14ac:dyDescent="0.3">
      <c r="C975" t="s">
        <v>89</v>
      </c>
      <c r="E975" s="13">
        <v>45323</v>
      </c>
      <c r="F975">
        <v>9144707.0058350284</v>
      </c>
      <c r="G975" t="s">
        <v>89</v>
      </c>
    </row>
    <row r="976" spans="1:7" x14ac:dyDescent="0.3">
      <c r="C976" t="s">
        <v>89</v>
      </c>
      <c r="E976" s="13">
        <v>45352</v>
      </c>
      <c r="F976">
        <v>12441609.04124926</v>
      </c>
      <c r="G976" t="s">
        <v>89</v>
      </c>
    </row>
    <row r="977" spans="3:7" x14ac:dyDescent="0.3">
      <c r="C977" t="s">
        <v>89</v>
      </c>
      <c r="E977" s="13">
        <v>45383</v>
      </c>
      <c r="F977">
        <v>11724255.672026537</v>
      </c>
      <c r="G977" t="s">
        <v>89</v>
      </c>
    </row>
    <row r="978" spans="3:7" x14ac:dyDescent="0.3">
      <c r="C978" t="s">
        <v>89</v>
      </c>
      <c r="E978" s="13">
        <v>45413</v>
      </c>
      <c r="F978">
        <v>10545181.478455368</v>
      </c>
      <c r="G978" t="s">
        <v>89</v>
      </c>
    </row>
    <row r="979" spans="3:7" x14ac:dyDescent="0.3">
      <c r="C979" t="s">
        <v>89</v>
      </c>
      <c r="E979" s="13">
        <v>45444</v>
      </c>
      <c r="F979">
        <v>8394281.6238351874</v>
      </c>
      <c r="G979" t="s">
        <v>89</v>
      </c>
    </row>
    <row r="980" spans="3:7" x14ac:dyDescent="0.3">
      <c r="C980" t="s">
        <v>89</v>
      </c>
      <c r="E980" s="13">
        <v>45474</v>
      </c>
      <c r="F980">
        <v>6282143.3143321201</v>
      </c>
      <c r="G980" t="s">
        <v>89</v>
      </c>
    </row>
    <row r="981" spans="3:7" x14ac:dyDescent="0.3">
      <c r="C981" t="s">
        <v>89</v>
      </c>
      <c r="E981" s="13">
        <v>45505</v>
      </c>
      <c r="F981">
        <v>7568586.8002002407</v>
      </c>
      <c r="G981" t="s">
        <v>89</v>
      </c>
    </row>
    <row r="982" spans="3:7" x14ac:dyDescent="0.3">
      <c r="C982" t="s">
        <v>89</v>
      </c>
      <c r="E982" s="13">
        <v>45536</v>
      </c>
      <c r="F982">
        <v>13160575.533905849</v>
      </c>
      <c r="G982" t="s">
        <v>89</v>
      </c>
    </row>
    <row r="983" spans="3:7" x14ac:dyDescent="0.3">
      <c r="C983" t="s">
        <v>89</v>
      </c>
      <c r="E983" s="13">
        <v>45566</v>
      </c>
      <c r="F983">
        <v>12088774.992703758</v>
      </c>
      <c r="G983" t="s">
        <v>89</v>
      </c>
    </row>
    <row r="984" spans="3:7" x14ac:dyDescent="0.3">
      <c r="C984" t="s">
        <v>89</v>
      </c>
      <c r="E984" s="13">
        <v>45597</v>
      </c>
      <c r="F984">
        <v>13055204.842663277</v>
      </c>
      <c r="G984" t="s">
        <v>89</v>
      </c>
    </row>
    <row r="985" spans="3:7" x14ac:dyDescent="0.3">
      <c r="C985" t="s">
        <v>89</v>
      </c>
      <c r="E985" s="13">
        <v>45627</v>
      </c>
      <c r="F985">
        <v>12207005.726379693</v>
      </c>
      <c r="G985" t="s">
        <v>89</v>
      </c>
    </row>
    <row r="986" spans="3:7" x14ac:dyDescent="0.3">
      <c r="C986" t="s">
        <v>89</v>
      </c>
      <c r="E986" s="13">
        <v>45658</v>
      </c>
      <c r="F986">
        <v>7089689.0804981869</v>
      </c>
      <c r="G986" t="s">
        <v>89</v>
      </c>
    </row>
    <row r="987" spans="3:7" x14ac:dyDescent="0.3">
      <c r="C987" t="s">
        <v>89</v>
      </c>
      <c r="E987" s="13">
        <v>45689</v>
      </c>
      <c r="F987">
        <v>9381707.0951231234</v>
      </c>
      <c r="G987" t="s">
        <v>89</v>
      </c>
    </row>
    <row r="988" spans="3:7" x14ac:dyDescent="0.3">
      <c r="C988" t="s">
        <v>89</v>
      </c>
      <c r="E988" s="13">
        <v>45717</v>
      </c>
      <c r="F988">
        <v>11441565.216682006</v>
      </c>
      <c r="G988" t="s">
        <v>89</v>
      </c>
    </row>
    <row r="989" spans="3:7" x14ac:dyDescent="0.3">
      <c r="C989" t="s">
        <v>89</v>
      </c>
      <c r="E989" s="13">
        <v>45748</v>
      </c>
      <c r="F989">
        <v>8705533.1943718381</v>
      </c>
      <c r="G989" t="s">
        <v>89</v>
      </c>
    </row>
    <row r="990" spans="3:7" x14ac:dyDescent="0.3">
      <c r="C990" t="s">
        <v>89</v>
      </c>
      <c r="E990" s="13">
        <v>45778</v>
      </c>
      <c r="F990">
        <v>9312671.2069126312</v>
      </c>
      <c r="G990" t="s">
        <v>89</v>
      </c>
    </row>
    <row r="991" spans="3:7" x14ac:dyDescent="0.3">
      <c r="C991" t="s">
        <v>89</v>
      </c>
      <c r="E991" s="13">
        <v>45809</v>
      </c>
      <c r="F991">
        <v>8293850.1862591021</v>
      </c>
      <c r="G991" t="s">
        <v>89</v>
      </c>
    </row>
    <row r="992" spans="3:7" x14ac:dyDescent="0.3">
      <c r="C992" t="s">
        <v>93</v>
      </c>
      <c r="E992" s="13">
        <v>45292</v>
      </c>
      <c r="F992">
        <v>2350783.0070319464</v>
      </c>
      <c r="G992" t="s">
        <v>93</v>
      </c>
    </row>
    <row r="993" spans="3:7" x14ac:dyDescent="0.3">
      <c r="C993" t="s">
        <v>93</v>
      </c>
      <c r="E993" s="13">
        <v>45323</v>
      </c>
      <c r="F993">
        <v>3209154.3958599726</v>
      </c>
      <c r="G993" t="s">
        <v>93</v>
      </c>
    </row>
    <row r="994" spans="3:7" x14ac:dyDescent="0.3">
      <c r="C994" t="s">
        <v>93</v>
      </c>
      <c r="E994" s="13">
        <v>45352</v>
      </c>
      <c r="F994">
        <v>4580383.2658436233</v>
      </c>
      <c r="G994" t="s">
        <v>93</v>
      </c>
    </row>
    <row r="995" spans="3:7" x14ac:dyDescent="0.3">
      <c r="C995" t="s">
        <v>93</v>
      </c>
      <c r="E995" s="13">
        <v>45383</v>
      </c>
      <c r="F995">
        <v>4451142.2131787678</v>
      </c>
      <c r="G995" t="s">
        <v>93</v>
      </c>
    </row>
    <row r="996" spans="3:7" x14ac:dyDescent="0.3">
      <c r="C996" t="s">
        <v>93</v>
      </c>
      <c r="E996" s="13">
        <v>45413</v>
      </c>
      <c r="F996">
        <v>3959340.6962441364</v>
      </c>
      <c r="G996" t="s">
        <v>93</v>
      </c>
    </row>
    <row r="997" spans="3:7" x14ac:dyDescent="0.3">
      <c r="C997" t="s">
        <v>93</v>
      </c>
      <c r="E997" s="13">
        <v>45444</v>
      </c>
      <c r="F997">
        <v>3207221.3323162086</v>
      </c>
      <c r="G997" t="s">
        <v>93</v>
      </c>
    </row>
    <row r="998" spans="3:7" x14ac:dyDescent="0.3">
      <c r="C998" t="s">
        <v>93</v>
      </c>
      <c r="E998" s="13">
        <v>45474</v>
      </c>
      <c r="F998">
        <v>2415292.9187365556</v>
      </c>
      <c r="G998" t="s">
        <v>93</v>
      </c>
    </row>
    <row r="999" spans="3:7" x14ac:dyDescent="0.3">
      <c r="C999" t="s">
        <v>93</v>
      </c>
      <c r="E999" s="13">
        <v>45505</v>
      </c>
      <c r="F999">
        <v>3001369.3946829289</v>
      </c>
      <c r="G999" t="s">
        <v>93</v>
      </c>
    </row>
    <row r="1000" spans="3:7" x14ac:dyDescent="0.3">
      <c r="C1000" t="s">
        <v>93</v>
      </c>
      <c r="E1000" s="13">
        <v>45536</v>
      </c>
      <c r="F1000">
        <v>4490092.1016194895</v>
      </c>
      <c r="G1000" t="s">
        <v>93</v>
      </c>
    </row>
    <row r="1001" spans="3:7" x14ac:dyDescent="0.3">
      <c r="C1001" t="s">
        <v>93</v>
      </c>
      <c r="E1001" s="13">
        <v>45566</v>
      </c>
      <c r="F1001">
        <v>3993256.0895537604</v>
      </c>
      <c r="G1001" t="s">
        <v>93</v>
      </c>
    </row>
    <row r="1002" spans="3:7" x14ac:dyDescent="0.3">
      <c r="C1002" t="s">
        <v>93</v>
      </c>
      <c r="E1002" s="13">
        <v>45597</v>
      </c>
      <c r="F1002">
        <v>4354747.0218489431</v>
      </c>
      <c r="G1002" t="s">
        <v>93</v>
      </c>
    </row>
    <row r="1003" spans="3:7" x14ac:dyDescent="0.3">
      <c r="C1003" t="s">
        <v>93</v>
      </c>
      <c r="E1003" s="13">
        <v>45627</v>
      </c>
      <c r="F1003">
        <v>4148627.5203850316</v>
      </c>
      <c r="G1003" t="s">
        <v>93</v>
      </c>
    </row>
    <row r="1004" spans="3:7" x14ac:dyDescent="0.3">
      <c r="C1004" t="s">
        <v>93</v>
      </c>
      <c r="E1004" s="13">
        <v>45658</v>
      </c>
      <c r="F1004">
        <v>1921300.4405821292</v>
      </c>
      <c r="G1004" t="s">
        <v>93</v>
      </c>
    </row>
    <row r="1005" spans="3:7" x14ac:dyDescent="0.3">
      <c r="C1005" t="s">
        <v>93</v>
      </c>
      <c r="E1005" s="13">
        <v>45689</v>
      </c>
      <c r="F1005">
        <v>2622726.6242511263</v>
      </c>
      <c r="G1005" t="s">
        <v>93</v>
      </c>
    </row>
    <row r="1006" spans="3:7" x14ac:dyDescent="0.3">
      <c r="C1006" t="s">
        <v>93</v>
      </c>
      <c r="E1006" s="13">
        <v>45717</v>
      </c>
      <c r="F1006">
        <v>3556920.1827506358</v>
      </c>
      <c r="G1006" t="s">
        <v>93</v>
      </c>
    </row>
    <row r="1007" spans="3:7" x14ac:dyDescent="0.3">
      <c r="C1007" t="s">
        <v>93</v>
      </c>
      <c r="E1007" s="13">
        <v>45748</v>
      </c>
      <c r="F1007">
        <v>2786339.8818982514</v>
      </c>
      <c r="G1007" t="s">
        <v>93</v>
      </c>
    </row>
    <row r="1008" spans="3:7" x14ac:dyDescent="0.3">
      <c r="C1008" t="s">
        <v>93</v>
      </c>
      <c r="E1008" s="13">
        <v>45778</v>
      </c>
      <c r="F1008">
        <v>3015256.9139299039</v>
      </c>
      <c r="G1008" t="s">
        <v>93</v>
      </c>
    </row>
    <row r="1009" spans="3:7" x14ac:dyDescent="0.3">
      <c r="C1009" t="s">
        <v>93</v>
      </c>
      <c r="E1009" s="13">
        <v>45809</v>
      </c>
      <c r="F1009">
        <v>2639969.6198145971</v>
      </c>
      <c r="G1009" t="s">
        <v>93</v>
      </c>
    </row>
    <row r="1010" spans="3:7" x14ac:dyDescent="0.3">
      <c r="C1010" t="s">
        <v>92</v>
      </c>
      <c r="E1010" s="13">
        <v>45292</v>
      </c>
      <c r="F1010">
        <v>13028.879961262457</v>
      </c>
      <c r="G1010" t="s">
        <v>92</v>
      </c>
    </row>
    <row r="1011" spans="3:7" x14ac:dyDescent="0.3">
      <c r="C1011" t="s">
        <v>92</v>
      </c>
      <c r="E1011" s="13">
        <v>45323</v>
      </c>
      <c r="F1011">
        <v>873043.62891760981</v>
      </c>
      <c r="G1011" t="s">
        <v>92</v>
      </c>
    </row>
    <row r="1012" spans="3:7" x14ac:dyDescent="0.3">
      <c r="C1012" t="s">
        <v>92</v>
      </c>
      <c r="E1012" s="13">
        <v>45352</v>
      </c>
      <c r="F1012">
        <v>2110234.731094718</v>
      </c>
      <c r="G1012" t="s">
        <v>92</v>
      </c>
    </row>
    <row r="1013" spans="3:7" x14ac:dyDescent="0.3">
      <c r="C1013" t="s">
        <v>92</v>
      </c>
      <c r="E1013" s="13">
        <v>45383</v>
      </c>
      <c r="F1013">
        <v>2009575.9696350116</v>
      </c>
      <c r="G1013" t="s">
        <v>92</v>
      </c>
    </row>
    <row r="1014" spans="3:7" x14ac:dyDescent="0.3">
      <c r="C1014" t="s">
        <v>92</v>
      </c>
      <c r="E1014" s="13">
        <v>45413</v>
      </c>
      <c r="F1014">
        <v>1600280.819970971</v>
      </c>
      <c r="G1014" t="s">
        <v>92</v>
      </c>
    </row>
    <row r="1015" spans="3:7" x14ac:dyDescent="0.3">
      <c r="C1015" t="s">
        <v>92</v>
      </c>
      <c r="E1015" s="13">
        <v>45444</v>
      </c>
      <c r="F1015">
        <v>839256.71486439975</v>
      </c>
      <c r="G1015" t="s">
        <v>92</v>
      </c>
    </row>
    <row r="1016" spans="3:7" x14ac:dyDescent="0.3">
      <c r="C1016" t="s">
        <v>92</v>
      </c>
      <c r="E1016" s="13">
        <v>45474</v>
      </c>
      <c r="F1016">
        <v>198708.62786181644</v>
      </c>
      <c r="G1016" t="s">
        <v>92</v>
      </c>
    </row>
    <row r="1017" spans="3:7" x14ac:dyDescent="0.3">
      <c r="C1017" t="s">
        <v>92</v>
      </c>
      <c r="E1017" s="13">
        <v>45505</v>
      </c>
      <c r="F1017">
        <v>839962.82439670758</v>
      </c>
      <c r="G1017" t="s">
        <v>92</v>
      </c>
    </row>
    <row r="1018" spans="3:7" x14ac:dyDescent="0.3">
      <c r="C1018" t="s">
        <v>92</v>
      </c>
      <c r="E1018" s="13">
        <v>45536</v>
      </c>
      <c r="F1018">
        <v>1998289.0273408936</v>
      </c>
      <c r="G1018" t="s">
        <v>92</v>
      </c>
    </row>
    <row r="1019" spans="3:7" x14ac:dyDescent="0.3">
      <c r="C1019" t="s">
        <v>92</v>
      </c>
      <c r="E1019" s="13">
        <v>45566</v>
      </c>
      <c r="F1019">
        <v>1276259.1641699262</v>
      </c>
      <c r="G1019" t="s">
        <v>92</v>
      </c>
    </row>
    <row r="1020" spans="3:7" x14ac:dyDescent="0.3">
      <c r="C1020" t="s">
        <v>92</v>
      </c>
      <c r="E1020" s="13">
        <v>45597</v>
      </c>
      <c r="F1020">
        <v>1748192.1035890505</v>
      </c>
      <c r="G1020" t="s">
        <v>92</v>
      </c>
    </row>
    <row r="1021" spans="3:7" x14ac:dyDescent="0.3">
      <c r="C1021" t="s">
        <v>92</v>
      </c>
      <c r="E1021" s="13">
        <v>45627</v>
      </c>
      <c r="F1021">
        <v>1655883.0034360215</v>
      </c>
      <c r="G1021" t="s">
        <v>92</v>
      </c>
    </row>
    <row r="1022" spans="3:7" x14ac:dyDescent="0.3">
      <c r="C1022" t="s">
        <v>92</v>
      </c>
      <c r="E1022" s="13">
        <v>45658</v>
      </c>
      <c r="F1022">
        <v>-451763.02555170562</v>
      </c>
      <c r="G1022" t="s">
        <v>92</v>
      </c>
    </row>
    <row r="1023" spans="3:7" x14ac:dyDescent="0.3">
      <c r="C1023" t="s">
        <v>92</v>
      </c>
      <c r="E1023" s="13">
        <v>45689</v>
      </c>
      <c r="F1023">
        <v>265949.31307317084</v>
      </c>
      <c r="G1023" t="s">
        <v>92</v>
      </c>
    </row>
    <row r="1024" spans="3:7" x14ac:dyDescent="0.3">
      <c r="C1024" t="s">
        <v>92</v>
      </c>
      <c r="E1024" s="13">
        <v>45717</v>
      </c>
      <c r="F1024">
        <v>1094397.7434873977</v>
      </c>
      <c r="G1024" t="s">
        <v>92</v>
      </c>
    </row>
    <row r="1025" spans="3:7" x14ac:dyDescent="0.3">
      <c r="C1025" t="s">
        <v>92</v>
      </c>
      <c r="E1025" s="13">
        <v>45748</v>
      </c>
      <c r="F1025">
        <v>393835.88418830233</v>
      </c>
      <c r="G1025" t="s">
        <v>92</v>
      </c>
    </row>
    <row r="1026" spans="3:7" x14ac:dyDescent="0.3">
      <c r="C1026" t="s">
        <v>92</v>
      </c>
      <c r="E1026" s="13">
        <v>45778</v>
      </c>
      <c r="F1026">
        <v>720552.52096251724</v>
      </c>
      <c r="G1026" t="s">
        <v>92</v>
      </c>
    </row>
    <row r="1027" spans="3:7" x14ac:dyDescent="0.3">
      <c r="C1027" t="s">
        <v>92</v>
      </c>
      <c r="E1027" s="13">
        <v>45809</v>
      </c>
      <c r="F1027">
        <v>330700.68494542316</v>
      </c>
      <c r="G1027" t="s">
        <v>92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4706-56FB-47BB-98C4-2B0675B5787F}">
  <sheetPr>
    <tabColor rgb="FF7030A0"/>
  </sheetPr>
  <dimension ref="A1:F169"/>
  <sheetViews>
    <sheetView topLeftCell="G1" workbookViewId="0">
      <selection activeCell="J22" sqref="J22:J32"/>
    </sheetView>
  </sheetViews>
  <sheetFormatPr defaultRowHeight="14.4" x14ac:dyDescent="0.3"/>
  <cols>
    <col min="1" max="1" width="18.44140625" bestFit="1" customWidth="1"/>
    <col min="2" max="2" width="10.44140625" bestFit="1" customWidth="1"/>
    <col min="3" max="3" width="26.5546875" bestFit="1" customWidth="1"/>
    <col min="4" max="4" width="10.109375" bestFit="1" customWidth="1"/>
    <col min="5" max="5" width="12" bestFit="1" customWidth="1"/>
    <col min="6" max="6" width="50.44140625" bestFit="1" customWidth="1"/>
    <col min="7" max="7" width="14.88671875" customWidth="1"/>
    <col min="8" max="8" width="24.5546875" bestFit="1" customWidth="1"/>
    <col min="9" max="9" width="14.88671875" bestFit="1" customWidth="1"/>
    <col min="10" max="10" width="24.5546875" customWidth="1"/>
  </cols>
  <sheetData>
    <row r="1" spans="1:6" x14ac:dyDescent="0.3">
      <c r="A1" t="s">
        <v>85</v>
      </c>
      <c r="B1" t="s">
        <v>86</v>
      </c>
      <c r="C1" t="s">
        <v>28</v>
      </c>
      <c r="D1" t="s">
        <v>94</v>
      </c>
      <c r="E1" t="s">
        <v>95</v>
      </c>
      <c r="F1" t="s">
        <v>147</v>
      </c>
    </row>
    <row r="2" spans="1:6" x14ac:dyDescent="0.3">
      <c r="A2" t="s">
        <v>87</v>
      </c>
      <c r="C2" t="s">
        <v>37</v>
      </c>
      <c r="D2" s="13">
        <v>45658</v>
      </c>
      <c r="E2">
        <v>18928135.072498478</v>
      </c>
      <c r="F2" t="s">
        <v>120</v>
      </c>
    </row>
    <row r="3" spans="1:6" x14ac:dyDescent="0.3">
      <c r="A3" t="s">
        <v>87</v>
      </c>
      <c r="C3" t="s">
        <v>37</v>
      </c>
      <c r="D3" s="13">
        <v>45689</v>
      </c>
      <c r="E3">
        <v>24920142.093276463</v>
      </c>
      <c r="F3" t="s">
        <v>120</v>
      </c>
    </row>
    <row r="4" spans="1:6" x14ac:dyDescent="0.3">
      <c r="A4" t="s">
        <v>87</v>
      </c>
      <c r="C4" t="s">
        <v>37</v>
      </c>
      <c r="D4" s="13">
        <v>45717</v>
      </c>
      <c r="E4">
        <v>33841465.42255</v>
      </c>
      <c r="F4" t="s">
        <v>120</v>
      </c>
    </row>
    <row r="5" spans="1:6" x14ac:dyDescent="0.3">
      <c r="A5" t="s">
        <v>87</v>
      </c>
      <c r="C5" t="s">
        <v>37</v>
      </c>
      <c r="D5" s="13">
        <v>45748</v>
      </c>
      <c r="E5">
        <v>31628224.583339993</v>
      </c>
      <c r="F5" t="s">
        <v>120</v>
      </c>
    </row>
    <row r="6" spans="1:6" x14ac:dyDescent="0.3">
      <c r="A6" t="s">
        <v>87</v>
      </c>
      <c r="C6" t="s">
        <v>37</v>
      </c>
      <c r="D6" s="13">
        <v>45778</v>
      </c>
      <c r="E6">
        <v>28396608.206160001</v>
      </c>
      <c r="F6" t="s">
        <v>120</v>
      </c>
    </row>
    <row r="7" spans="1:6" x14ac:dyDescent="0.3">
      <c r="A7" t="s">
        <v>87</v>
      </c>
      <c r="C7" t="s">
        <v>37</v>
      </c>
      <c r="D7" s="13">
        <v>45809</v>
      </c>
      <c r="E7">
        <v>22853546.025970001</v>
      </c>
      <c r="F7" t="s">
        <v>120</v>
      </c>
    </row>
    <row r="8" spans="1:6" x14ac:dyDescent="0.3">
      <c r="A8" t="s">
        <v>87</v>
      </c>
      <c r="C8" t="s">
        <v>37</v>
      </c>
      <c r="D8" s="13">
        <v>45839</v>
      </c>
      <c r="E8">
        <v>16910000.054470003</v>
      </c>
      <c r="F8" t="s">
        <v>120</v>
      </c>
    </row>
    <row r="9" spans="1:6" x14ac:dyDescent="0.3">
      <c r="A9" t="s">
        <v>87</v>
      </c>
      <c r="C9" t="s">
        <v>37</v>
      </c>
      <c r="D9" s="13">
        <v>45870</v>
      </c>
      <c r="E9">
        <v>20320262.58306</v>
      </c>
      <c r="F9" t="s">
        <v>120</v>
      </c>
    </row>
    <row r="10" spans="1:6" x14ac:dyDescent="0.3">
      <c r="A10" t="s">
        <v>87</v>
      </c>
      <c r="C10" t="s">
        <v>37</v>
      </c>
      <c r="D10" s="13">
        <v>45901</v>
      </c>
      <c r="E10">
        <v>37167698.933705002</v>
      </c>
      <c r="F10" t="s">
        <v>120</v>
      </c>
    </row>
    <row r="11" spans="1:6" x14ac:dyDescent="0.3">
      <c r="A11" t="s">
        <v>87</v>
      </c>
      <c r="C11" t="s">
        <v>37</v>
      </c>
      <c r="D11" s="13">
        <v>45931</v>
      </c>
      <c r="E11">
        <v>34279013.753494993</v>
      </c>
      <c r="F11" t="s">
        <v>120</v>
      </c>
    </row>
    <row r="12" spans="1:6" x14ac:dyDescent="0.3">
      <c r="A12" t="s">
        <v>87</v>
      </c>
      <c r="C12" t="s">
        <v>37</v>
      </c>
      <c r="D12" s="13">
        <v>45962</v>
      </c>
      <c r="E12">
        <v>37110361.590127759</v>
      </c>
      <c r="F12" t="s">
        <v>120</v>
      </c>
    </row>
    <row r="13" spans="1:6" x14ac:dyDescent="0.3">
      <c r="A13" t="s">
        <v>87</v>
      </c>
      <c r="C13" t="s">
        <v>37</v>
      </c>
      <c r="D13" s="13">
        <v>45992</v>
      </c>
      <c r="E13">
        <v>34586886.816891879</v>
      </c>
      <c r="F13" t="s">
        <v>120</v>
      </c>
    </row>
    <row r="14" spans="1:6" x14ac:dyDescent="0.3">
      <c r="A14" t="s">
        <v>88</v>
      </c>
      <c r="C14" t="s">
        <v>40</v>
      </c>
      <c r="D14" s="13">
        <v>45658</v>
      </c>
      <c r="E14">
        <v>11379260.8894787</v>
      </c>
      <c r="F14" t="s">
        <v>123</v>
      </c>
    </row>
    <row r="15" spans="1:6" x14ac:dyDescent="0.3">
      <c r="A15" t="s">
        <v>88</v>
      </c>
      <c r="C15" t="s">
        <v>40</v>
      </c>
      <c r="D15" s="13">
        <v>45689</v>
      </c>
      <c r="E15">
        <v>14940672.2705267</v>
      </c>
      <c r="F15" t="s">
        <v>123</v>
      </c>
    </row>
    <row r="16" spans="1:6" x14ac:dyDescent="0.3">
      <c r="A16" t="s">
        <v>88</v>
      </c>
      <c r="C16" t="s">
        <v>40</v>
      </c>
      <c r="D16" s="13">
        <v>45717</v>
      </c>
      <c r="E16">
        <v>20325399.297635801</v>
      </c>
      <c r="F16" t="s">
        <v>123</v>
      </c>
    </row>
    <row r="17" spans="1:6" x14ac:dyDescent="0.3">
      <c r="A17" t="s">
        <v>88</v>
      </c>
      <c r="C17" t="s">
        <v>40</v>
      </c>
      <c r="D17" s="13">
        <v>45748</v>
      </c>
      <c r="E17">
        <v>18975128.868847899</v>
      </c>
      <c r="F17" t="s">
        <v>123</v>
      </c>
    </row>
    <row r="18" spans="1:6" x14ac:dyDescent="0.3">
      <c r="A18" t="s">
        <v>88</v>
      </c>
      <c r="C18" t="s">
        <v>40</v>
      </c>
      <c r="D18" s="13">
        <v>45778</v>
      </c>
      <c r="E18">
        <v>17054295.8429645</v>
      </c>
      <c r="F18" t="s">
        <v>123</v>
      </c>
    </row>
    <row r="19" spans="1:6" x14ac:dyDescent="0.3">
      <c r="A19" t="s">
        <v>88</v>
      </c>
      <c r="C19" t="s">
        <v>40</v>
      </c>
      <c r="D19" s="13">
        <v>45809</v>
      </c>
      <c r="E19">
        <v>13728918.022774501</v>
      </c>
      <c r="F19" t="s">
        <v>123</v>
      </c>
    </row>
    <row r="20" spans="1:6" x14ac:dyDescent="0.3">
      <c r="A20" t="s">
        <v>88</v>
      </c>
      <c r="C20" t="s">
        <v>40</v>
      </c>
      <c r="D20" s="13">
        <v>45839</v>
      </c>
      <c r="E20">
        <v>10145183.3624616</v>
      </c>
      <c r="F20" t="s">
        <v>123</v>
      </c>
    </row>
    <row r="21" spans="1:6" x14ac:dyDescent="0.3">
      <c r="A21" t="s">
        <v>88</v>
      </c>
      <c r="C21" t="s">
        <v>40</v>
      </c>
      <c r="D21" s="13">
        <v>45870</v>
      </c>
      <c r="E21">
        <v>12170512.164061399</v>
      </c>
      <c r="F21" t="s">
        <v>123</v>
      </c>
    </row>
    <row r="22" spans="1:6" x14ac:dyDescent="0.3">
      <c r="A22" t="s">
        <v>88</v>
      </c>
      <c r="C22" t="s">
        <v>40</v>
      </c>
      <c r="D22" s="13">
        <v>45901</v>
      </c>
      <c r="E22">
        <v>22281428.4846063</v>
      </c>
      <c r="F22" t="s">
        <v>123</v>
      </c>
    </row>
    <row r="23" spans="1:6" x14ac:dyDescent="0.3">
      <c r="A23" t="s">
        <v>88</v>
      </c>
      <c r="C23" t="s">
        <v>40</v>
      </c>
      <c r="D23" s="13">
        <v>45931</v>
      </c>
      <c r="E23">
        <v>20527854.643010002</v>
      </c>
      <c r="F23" t="s">
        <v>123</v>
      </c>
    </row>
    <row r="24" spans="1:6" x14ac:dyDescent="0.3">
      <c r="A24" t="s">
        <v>88</v>
      </c>
      <c r="C24" t="s">
        <v>40</v>
      </c>
      <c r="D24" s="13">
        <v>45962</v>
      </c>
      <c r="E24">
        <v>22204997.803047799</v>
      </c>
      <c r="F24" t="s">
        <v>123</v>
      </c>
    </row>
    <row r="25" spans="1:6" x14ac:dyDescent="0.3">
      <c r="A25" t="s">
        <v>88</v>
      </c>
      <c r="C25" t="s">
        <v>40</v>
      </c>
      <c r="D25" s="13">
        <v>45992</v>
      </c>
      <c r="E25">
        <v>20700360.9398087</v>
      </c>
      <c r="F25" t="s">
        <v>123</v>
      </c>
    </row>
    <row r="26" spans="1:6" x14ac:dyDescent="0.3">
      <c r="A26" t="s">
        <v>89</v>
      </c>
      <c r="D26" s="13">
        <v>45658</v>
      </c>
      <c r="E26">
        <v>7548874.1830197778</v>
      </c>
      <c r="F26" t="s">
        <v>89</v>
      </c>
    </row>
    <row r="27" spans="1:6" x14ac:dyDescent="0.3">
      <c r="A27" t="s">
        <v>89</v>
      </c>
      <c r="D27" s="13">
        <v>45689</v>
      </c>
      <c r="E27">
        <v>9979469.8227497637</v>
      </c>
      <c r="F27" t="s">
        <v>89</v>
      </c>
    </row>
    <row r="28" spans="1:6" x14ac:dyDescent="0.3">
      <c r="A28" t="s">
        <v>89</v>
      </c>
      <c r="D28" s="13">
        <v>45717</v>
      </c>
      <c r="E28">
        <v>13516066.124914199</v>
      </c>
      <c r="F28" t="s">
        <v>89</v>
      </c>
    </row>
    <row r="29" spans="1:6" x14ac:dyDescent="0.3">
      <c r="A29" t="s">
        <v>89</v>
      </c>
      <c r="D29" s="13">
        <v>45748</v>
      </c>
      <c r="E29">
        <v>12653095.714492094</v>
      </c>
      <c r="F29" t="s">
        <v>89</v>
      </c>
    </row>
    <row r="30" spans="1:6" x14ac:dyDescent="0.3">
      <c r="A30" t="s">
        <v>89</v>
      </c>
      <c r="D30" s="13">
        <v>45778</v>
      </c>
      <c r="E30">
        <v>11342312.363195501</v>
      </c>
      <c r="F30" t="s">
        <v>89</v>
      </c>
    </row>
    <row r="31" spans="1:6" x14ac:dyDescent="0.3">
      <c r="A31" t="s">
        <v>89</v>
      </c>
      <c r="D31" s="13">
        <v>45809</v>
      </c>
      <c r="E31">
        <v>9124628.0031955</v>
      </c>
      <c r="F31" t="s">
        <v>89</v>
      </c>
    </row>
    <row r="32" spans="1:6" x14ac:dyDescent="0.3">
      <c r="A32" t="s">
        <v>89</v>
      </c>
      <c r="D32" s="13">
        <v>45839</v>
      </c>
      <c r="E32">
        <v>6764816.6920084022</v>
      </c>
      <c r="F32" t="s">
        <v>89</v>
      </c>
    </row>
    <row r="33" spans="1:6" x14ac:dyDescent="0.3">
      <c r="A33" t="s">
        <v>89</v>
      </c>
      <c r="D33" s="13">
        <v>45870</v>
      </c>
      <c r="E33">
        <v>8149750.4189986009</v>
      </c>
      <c r="F33" t="s">
        <v>89</v>
      </c>
    </row>
    <row r="34" spans="1:6" x14ac:dyDescent="0.3">
      <c r="A34" t="s">
        <v>89</v>
      </c>
      <c r="D34" s="13">
        <v>45901</v>
      </c>
      <c r="E34">
        <v>14886270.449098703</v>
      </c>
      <c r="F34" t="s">
        <v>89</v>
      </c>
    </row>
    <row r="35" spans="1:6" x14ac:dyDescent="0.3">
      <c r="A35" t="s">
        <v>89</v>
      </c>
      <c r="D35" s="13">
        <v>45931</v>
      </c>
      <c r="E35">
        <v>13751159.110484991</v>
      </c>
      <c r="F35" t="s">
        <v>89</v>
      </c>
    </row>
    <row r="36" spans="1:6" x14ac:dyDescent="0.3">
      <c r="A36" t="s">
        <v>89</v>
      </c>
      <c r="D36" s="13">
        <v>45962</v>
      </c>
      <c r="E36">
        <v>14905363.78707996</v>
      </c>
      <c r="F36" t="s">
        <v>89</v>
      </c>
    </row>
    <row r="37" spans="1:6" x14ac:dyDescent="0.3">
      <c r="A37" t="s">
        <v>89</v>
      </c>
      <c r="D37" s="13">
        <v>45992</v>
      </c>
      <c r="E37">
        <v>13886525.877083179</v>
      </c>
      <c r="F37" t="s">
        <v>89</v>
      </c>
    </row>
    <row r="38" spans="1:6" x14ac:dyDescent="0.3">
      <c r="A38" t="s">
        <v>90</v>
      </c>
      <c r="B38" t="s">
        <v>25</v>
      </c>
      <c r="C38" t="s">
        <v>29</v>
      </c>
      <c r="D38" s="13">
        <v>45658</v>
      </c>
      <c r="E38">
        <v>425933.52437138202</v>
      </c>
      <c r="F38" t="s">
        <v>127</v>
      </c>
    </row>
    <row r="39" spans="1:6" x14ac:dyDescent="0.3">
      <c r="A39" t="s">
        <v>90</v>
      </c>
      <c r="B39" t="s">
        <v>25</v>
      </c>
      <c r="C39" t="s">
        <v>29</v>
      </c>
      <c r="D39" s="13">
        <v>45689</v>
      </c>
      <c r="E39">
        <v>560769.66425746295</v>
      </c>
      <c r="F39" t="s">
        <v>127</v>
      </c>
    </row>
    <row r="40" spans="1:6" x14ac:dyDescent="0.3">
      <c r="A40" t="s">
        <v>90</v>
      </c>
      <c r="B40" t="s">
        <v>25</v>
      </c>
      <c r="C40" t="s">
        <v>29</v>
      </c>
      <c r="D40" s="13">
        <v>45717</v>
      </c>
      <c r="E40">
        <v>761523.23417545902</v>
      </c>
      <c r="F40" t="s">
        <v>127</v>
      </c>
    </row>
    <row r="41" spans="1:6" x14ac:dyDescent="0.3">
      <c r="A41" t="s">
        <v>90</v>
      </c>
      <c r="B41" t="s">
        <v>25</v>
      </c>
      <c r="C41" t="s">
        <v>29</v>
      </c>
      <c r="D41" s="13">
        <v>45748</v>
      </c>
      <c r="E41">
        <v>711719.41212343494</v>
      </c>
      <c r="F41" t="s">
        <v>127</v>
      </c>
    </row>
    <row r="42" spans="1:6" x14ac:dyDescent="0.3">
      <c r="A42" t="s">
        <v>90</v>
      </c>
      <c r="B42" t="s">
        <v>25</v>
      </c>
      <c r="C42" t="s">
        <v>29</v>
      </c>
      <c r="D42" s="13">
        <v>45778</v>
      </c>
      <c r="E42">
        <v>638999.424249487</v>
      </c>
      <c r="F42" t="s">
        <v>127</v>
      </c>
    </row>
    <row r="43" spans="1:6" x14ac:dyDescent="0.3">
      <c r="A43" t="s">
        <v>90</v>
      </c>
      <c r="B43" t="s">
        <v>25</v>
      </c>
      <c r="C43" t="s">
        <v>29</v>
      </c>
      <c r="D43" s="13">
        <v>45809</v>
      </c>
      <c r="E43">
        <v>514265.74070512003</v>
      </c>
      <c r="F43" t="s">
        <v>127</v>
      </c>
    </row>
    <row r="44" spans="1:6" x14ac:dyDescent="0.3">
      <c r="A44" t="s">
        <v>90</v>
      </c>
      <c r="B44" t="s">
        <v>25</v>
      </c>
      <c r="C44" t="s">
        <v>29</v>
      </c>
      <c r="D44" s="13">
        <v>45839</v>
      </c>
      <c r="E44">
        <v>380520.103683408</v>
      </c>
      <c r="F44" t="s">
        <v>127</v>
      </c>
    </row>
    <row r="45" spans="1:6" x14ac:dyDescent="0.3">
      <c r="A45" t="s">
        <v>90</v>
      </c>
      <c r="B45" t="s">
        <v>25</v>
      </c>
      <c r="C45" t="s">
        <v>29</v>
      </c>
      <c r="D45" s="13">
        <v>45870</v>
      </c>
      <c r="E45">
        <v>457260.106450213</v>
      </c>
      <c r="F45" t="s">
        <v>127</v>
      </c>
    </row>
    <row r="46" spans="1:6" x14ac:dyDescent="0.3">
      <c r="A46" t="s">
        <v>90</v>
      </c>
      <c r="B46" t="s">
        <v>25</v>
      </c>
      <c r="C46" t="s">
        <v>29</v>
      </c>
      <c r="D46" s="13">
        <v>45901</v>
      </c>
      <c r="E46">
        <v>836372.35992725706</v>
      </c>
      <c r="F46" t="s">
        <v>127</v>
      </c>
    </row>
    <row r="47" spans="1:6" x14ac:dyDescent="0.3">
      <c r="A47" t="s">
        <v>90</v>
      </c>
      <c r="B47" t="s">
        <v>25</v>
      </c>
      <c r="C47" t="s">
        <v>29</v>
      </c>
      <c r="D47" s="13">
        <v>45931</v>
      </c>
      <c r="E47">
        <v>771369.23865336506</v>
      </c>
      <c r="F47" t="s">
        <v>127</v>
      </c>
    </row>
    <row r="48" spans="1:6" x14ac:dyDescent="0.3">
      <c r="A48" t="s">
        <v>90</v>
      </c>
      <c r="B48" t="s">
        <v>25</v>
      </c>
      <c r="C48" t="s">
        <v>29</v>
      </c>
      <c r="D48" s="13">
        <v>45962</v>
      </c>
      <c r="E48">
        <v>835082.11676624801</v>
      </c>
      <c r="F48" t="s">
        <v>127</v>
      </c>
    </row>
    <row r="49" spans="1:6" x14ac:dyDescent="0.3">
      <c r="A49" t="s">
        <v>90</v>
      </c>
      <c r="B49" t="s">
        <v>25</v>
      </c>
      <c r="C49" t="s">
        <v>29</v>
      </c>
      <c r="D49" s="13">
        <v>45992</v>
      </c>
      <c r="E49">
        <v>778297.20374075405</v>
      </c>
      <c r="F49" t="s">
        <v>127</v>
      </c>
    </row>
    <row r="50" spans="1:6" x14ac:dyDescent="0.3">
      <c r="A50" t="s">
        <v>90</v>
      </c>
      <c r="B50" t="s">
        <v>26</v>
      </c>
      <c r="C50" t="s">
        <v>26</v>
      </c>
      <c r="D50" s="13">
        <v>45658</v>
      </c>
      <c r="E50">
        <v>1666186.2385877799</v>
      </c>
      <c r="F50" t="s">
        <v>129</v>
      </c>
    </row>
    <row r="51" spans="1:6" x14ac:dyDescent="0.3">
      <c r="A51" t="s">
        <v>90</v>
      </c>
      <c r="B51" t="s">
        <v>26</v>
      </c>
      <c r="C51" t="s">
        <v>26</v>
      </c>
      <c r="D51" s="13">
        <v>45689</v>
      </c>
      <c r="E51">
        <v>2162748.01641997</v>
      </c>
      <c r="F51" t="s">
        <v>129</v>
      </c>
    </row>
    <row r="52" spans="1:6" x14ac:dyDescent="0.3">
      <c r="A52" t="s">
        <v>90</v>
      </c>
      <c r="B52" t="s">
        <v>26</v>
      </c>
      <c r="C52" t="s">
        <v>26</v>
      </c>
      <c r="D52" s="13">
        <v>45717</v>
      </c>
      <c r="E52">
        <v>2853089.8029714199</v>
      </c>
      <c r="F52" t="s">
        <v>129</v>
      </c>
    </row>
    <row r="53" spans="1:6" x14ac:dyDescent="0.3">
      <c r="A53" t="s">
        <v>90</v>
      </c>
      <c r="B53" t="s">
        <v>26</v>
      </c>
      <c r="C53" t="s">
        <v>26</v>
      </c>
      <c r="D53" s="13">
        <v>45748</v>
      </c>
      <c r="E53">
        <v>2627283.7802903699</v>
      </c>
      <c r="F53" t="s">
        <v>129</v>
      </c>
    </row>
    <row r="54" spans="1:6" x14ac:dyDescent="0.3">
      <c r="A54" t="s">
        <v>90</v>
      </c>
      <c r="B54" t="s">
        <v>26</v>
      </c>
      <c r="C54" t="s">
        <v>26</v>
      </c>
      <c r="D54" s="13">
        <v>45778</v>
      </c>
      <c r="E54">
        <v>2288427.6901496798</v>
      </c>
      <c r="F54" t="s">
        <v>129</v>
      </c>
    </row>
    <row r="55" spans="1:6" x14ac:dyDescent="0.3">
      <c r="A55" t="s">
        <v>90</v>
      </c>
      <c r="B55" t="s">
        <v>26</v>
      </c>
      <c r="C55" t="s">
        <v>26</v>
      </c>
      <c r="D55" s="13">
        <v>45809</v>
      </c>
      <c r="E55">
        <v>1841723.0383379001</v>
      </c>
      <c r="F55" t="s">
        <v>129</v>
      </c>
    </row>
    <row r="56" spans="1:6" x14ac:dyDescent="0.3">
      <c r="A56" t="s">
        <v>90</v>
      </c>
      <c r="B56" t="s">
        <v>26</v>
      </c>
      <c r="C56" t="s">
        <v>26</v>
      </c>
      <c r="D56" s="13">
        <v>45839</v>
      </c>
      <c r="E56">
        <v>1320813.58303332</v>
      </c>
      <c r="F56" t="s">
        <v>129</v>
      </c>
    </row>
    <row r="57" spans="1:6" x14ac:dyDescent="0.3">
      <c r="A57" t="s">
        <v>90</v>
      </c>
      <c r="B57" t="s">
        <v>26</v>
      </c>
      <c r="C57" t="s">
        <v>26</v>
      </c>
      <c r="D57" s="13">
        <v>45870</v>
      </c>
      <c r="E57">
        <v>1612377.23486577</v>
      </c>
      <c r="F57" t="s">
        <v>129</v>
      </c>
    </row>
    <row r="58" spans="1:6" x14ac:dyDescent="0.3">
      <c r="A58" t="s">
        <v>90</v>
      </c>
      <c r="B58" t="s">
        <v>26</v>
      </c>
      <c r="C58" t="s">
        <v>26</v>
      </c>
      <c r="D58" s="13">
        <v>45901</v>
      </c>
      <c r="E58">
        <v>3179597.4013763499</v>
      </c>
      <c r="F58" t="s">
        <v>129</v>
      </c>
    </row>
    <row r="59" spans="1:6" x14ac:dyDescent="0.3">
      <c r="A59" t="s">
        <v>90</v>
      </c>
      <c r="B59" t="s">
        <v>26</v>
      </c>
      <c r="C59" t="s">
        <v>26</v>
      </c>
      <c r="D59" s="13">
        <v>45931</v>
      </c>
      <c r="E59">
        <v>3017477.4625007599</v>
      </c>
      <c r="F59" t="s">
        <v>129</v>
      </c>
    </row>
    <row r="60" spans="1:6" x14ac:dyDescent="0.3">
      <c r="A60" t="s">
        <v>90</v>
      </c>
      <c r="B60" t="s">
        <v>26</v>
      </c>
      <c r="C60" t="s">
        <v>26</v>
      </c>
      <c r="D60" s="13">
        <v>45962</v>
      </c>
      <c r="E60">
        <v>3312722.44667602</v>
      </c>
      <c r="F60" t="s">
        <v>129</v>
      </c>
    </row>
    <row r="61" spans="1:6" x14ac:dyDescent="0.3">
      <c r="A61" t="s">
        <v>90</v>
      </c>
      <c r="B61" t="s">
        <v>26</v>
      </c>
      <c r="C61" t="s">
        <v>26</v>
      </c>
      <c r="D61" s="13">
        <v>45992</v>
      </c>
      <c r="E61">
        <v>2958815.81587394</v>
      </c>
      <c r="F61" t="s">
        <v>129</v>
      </c>
    </row>
    <row r="62" spans="1:6" x14ac:dyDescent="0.3">
      <c r="A62" t="s">
        <v>90</v>
      </c>
      <c r="B62" t="s">
        <v>27</v>
      </c>
      <c r="C62" t="s">
        <v>52</v>
      </c>
      <c r="D62" s="13">
        <v>45658</v>
      </c>
      <c r="E62">
        <v>2929859.42979164</v>
      </c>
      <c r="F62" t="s">
        <v>130</v>
      </c>
    </row>
    <row r="63" spans="1:6" x14ac:dyDescent="0.3">
      <c r="A63" t="s">
        <v>90</v>
      </c>
      <c r="B63" t="s">
        <v>27</v>
      </c>
      <c r="C63" t="s">
        <v>52</v>
      </c>
      <c r="D63" s="13">
        <v>45689</v>
      </c>
      <c r="E63">
        <v>3825209.1616816702</v>
      </c>
      <c r="F63" t="s">
        <v>130</v>
      </c>
    </row>
    <row r="64" spans="1:6" x14ac:dyDescent="0.3">
      <c r="A64" t="s">
        <v>90</v>
      </c>
      <c r="B64" t="s">
        <v>27</v>
      </c>
      <c r="C64" t="s">
        <v>52</v>
      </c>
      <c r="D64" s="13">
        <v>45717</v>
      </c>
      <c r="E64">
        <v>5107316.0562991304</v>
      </c>
      <c r="F64" t="s">
        <v>130</v>
      </c>
    </row>
    <row r="65" spans="1:6" x14ac:dyDescent="0.3">
      <c r="A65" t="s">
        <v>90</v>
      </c>
      <c r="B65" t="s">
        <v>27</v>
      </c>
      <c r="C65" t="s">
        <v>52</v>
      </c>
      <c r="D65" s="13">
        <v>45748</v>
      </c>
      <c r="E65">
        <v>4732498.8242035098</v>
      </c>
      <c r="F65" t="s">
        <v>130</v>
      </c>
    </row>
    <row r="66" spans="1:6" x14ac:dyDescent="0.3">
      <c r="A66" t="s">
        <v>90</v>
      </c>
      <c r="B66" t="s">
        <v>27</v>
      </c>
      <c r="C66" t="s">
        <v>52</v>
      </c>
      <c r="D66" s="13">
        <v>45778</v>
      </c>
      <c r="E66">
        <v>4248955.3782227701</v>
      </c>
      <c r="F66" t="s">
        <v>130</v>
      </c>
    </row>
    <row r="67" spans="1:6" x14ac:dyDescent="0.3">
      <c r="A67" t="s">
        <v>90</v>
      </c>
      <c r="B67" t="s">
        <v>27</v>
      </c>
      <c r="C67" t="s">
        <v>52</v>
      </c>
      <c r="D67" s="13">
        <v>45809</v>
      </c>
      <c r="E67">
        <v>3331115.9591815802</v>
      </c>
      <c r="F67" t="s">
        <v>130</v>
      </c>
    </row>
    <row r="68" spans="1:6" x14ac:dyDescent="0.3">
      <c r="A68" t="s">
        <v>90</v>
      </c>
      <c r="B68" t="s">
        <v>27</v>
      </c>
      <c r="C68" t="s">
        <v>52</v>
      </c>
      <c r="D68" s="13">
        <v>45839</v>
      </c>
      <c r="E68">
        <v>2399352.2174073802</v>
      </c>
      <c r="F68" t="s">
        <v>130</v>
      </c>
    </row>
    <row r="69" spans="1:6" x14ac:dyDescent="0.3">
      <c r="A69" t="s">
        <v>90</v>
      </c>
      <c r="B69" t="s">
        <v>27</v>
      </c>
      <c r="C69" t="s">
        <v>52</v>
      </c>
      <c r="D69" s="13">
        <v>45870</v>
      </c>
      <c r="E69">
        <v>2857021.6092472398</v>
      </c>
      <c r="F69" t="s">
        <v>130</v>
      </c>
    </row>
    <row r="70" spans="1:6" x14ac:dyDescent="0.3">
      <c r="A70" t="s">
        <v>90</v>
      </c>
      <c r="B70" t="s">
        <v>27</v>
      </c>
      <c r="C70" t="s">
        <v>52</v>
      </c>
      <c r="D70" s="13">
        <v>45901</v>
      </c>
      <c r="E70">
        <v>5753135.8893773099</v>
      </c>
      <c r="F70" t="s">
        <v>130</v>
      </c>
    </row>
    <row r="71" spans="1:6" x14ac:dyDescent="0.3">
      <c r="A71" t="s">
        <v>90</v>
      </c>
      <c r="B71" t="s">
        <v>27</v>
      </c>
      <c r="C71" t="s">
        <v>52</v>
      </c>
      <c r="D71" s="13">
        <v>45931</v>
      </c>
      <c r="E71">
        <v>5394433.7090460202</v>
      </c>
      <c r="F71" t="s">
        <v>130</v>
      </c>
    </row>
    <row r="72" spans="1:6" x14ac:dyDescent="0.3">
      <c r="A72" t="s">
        <v>90</v>
      </c>
      <c r="B72" t="s">
        <v>27</v>
      </c>
      <c r="C72" t="s">
        <v>52</v>
      </c>
      <c r="D72" s="13">
        <v>45962</v>
      </c>
      <c r="E72">
        <v>5792129.5618906999</v>
      </c>
      <c r="F72" t="s">
        <v>130</v>
      </c>
    </row>
    <row r="73" spans="1:6" x14ac:dyDescent="0.3">
      <c r="A73" t="s">
        <v>90</v>
      </c>
      <c r="B73" t="s">
        <v>27</v>
      </c>
      <c r="C73" t="s">
        <v>52</v>
      </c>
      <c r="D73" s="13">
        <v>45992</v>
      </c>
      <c r="E73">
        <v>5309041.8116723802</v>
      </c>
      <c r="F73" t="s">
        <v>130</v>
      </c>
    </row>
    <row r="74" spans="1:6" x14ac:dyDescent="0.3">
      <c r="A74" t="s">
        <v>93</v>
      </c>
      <c r="D74" s="13">
        <v>45658</v>
      </c>
      <c r="E74">
        <v>2526894.9902689755</v>
      </c>
      <c r="F74" t="s">
        <v>93</v>
      </c>
    </row>
    <row r="75" spans="1:6" x14ac:dyDescent="0.3">
      <c r="A75" t="s">
        <v>93</v>
      </c>
      <c r="D75" s="13">
        <v>45689</v>
      </c>
      <c r="E75">
        <v>3430742.9803906605</v>
      </c>
      <c r="F75" t="s">
        <v>93</v>
      </c>
    </row>
    <row r="76" spans="1:6" x14ac:dyDescent="0.3">
      <c r="A76" t="s">
        <v>93</v>
      </c>
      <c r="D76" s="13">
        <v>45717</v>
      </c>
      <c r="E76">
        <v>4794137.0314681903</v>
      </c>
      <c r="F76" t="s">
        <v>93</v>
      </c>
    </row>
    <row r="77" spans="1:6" x14ac:dyDescent="0.3">
      <c r="A77" t="s">
        <v>93</v>
      </c>
      <c r="D77" s="13">
        <v>45748</v>
      </c>
      <c r="E77">
        <v>4581593.6978747789</v>
      </c>
      <c r="F77" t="s">
        <v>93</v>
      </c>
    </row>
    <row r="78" spans="1:6" x14ac:dyDescent="0.3">
      <c r="A78" t="s">
        <v>93</v>
      </c>
      <c r="D78" s="13">
        <v>45778</v>
      </c>
      <c r="E78">
        <v>4165929.8705735644</v>
      </c>
      <c r="F78" t="s">
        <v>93</v>
      </c>
    </row>
    <row r="79" spans="1:6" x14ac:dyDescent="0.3">
      <c r="A79" t="s">
        <v>93</v>
      </c>
      <c r="D79" s="13">
        <v>45809</v>
      </c>
      <c r="E79">
        <v>3437523.2649708996</v>
      </c>
      <c r="F79" t="s">
        <v>93</v>
      </c>
    </row>
    <row r="80" spans="1:6" x14ac:dyDescent="0.3">
      <c r="A80" t="s">
        <v>93</v>
      </c>
      <c r="D80" s="13">
        <v>45839</v>
      </c>
      <c r="E80">
        <v>2664130.7878842941</v>
      </c>
      <c r="F80" t="s">
        <v>93</v>
      </c>
    </row>
    <row r="81" spans="1:6" x14ac:dyDescent="0.3">
      <c r="A81" t="s">
        <v>93</v>
      </c>
      <c r="D81" s="13">
        <v>45870</v>
      </c>
      <c r="E81">
        <v>3223091.4684353787</v>
      </c>
      <c r="F81" t="s">
        <v>93</v>
      </c>
    </row>
    <row r="82" spans="1:6" x14ac:dyDescent="0.3">
      <c r="A82" t="s">
        <v>93</v>
      </c>
      <c r="D82" s="13">
        <v>45901</v>
      </c>
      <c r="E82">
        <v>5117164.7984177861</v>
      </c>
      <c r="F82" t="s">
        <v>93</v>
      </c>
    </row>
    <row r="83" spans="1:6" x14ac:dyDescent="0.3">
      <c r="A83" t="s">
        <v>93</v>
      </c>
      <c r="D83" s="13">
        <v>45931</v>
      </c>
      <c r="E83">
        <v>4567878.7002848461</v>
      </c>
      <c r="F83" t="s">
        <v>93</v>
      </c>
    </row>
    <row r="84" spans="1:6" x14ac:dyDescent="0.3">
      <c r="A84" t="s">
        <v>93</v>
      </c>
      <c r="D84" s="13">
        <v>45962</v>
      </c>
      <c r="E84">
        <v>4965429.6617469918</v>
      </c>
      <c r="F84" t="s">
        <v>93</v>
      </c>
    </row>
    <row r="85" spans="1:6" x14ac:dyDescent="0.3">
      <c r="A85" t="s">
        <v>93</v>
      </c>
      <c r="D85" s="13">
        <v>45992</v>
      </c>
      <c r="E85">
        <v>4840371.0457961038</v>
      </c>
      <c r="F85" t="s">
        <v>93</v>
      </c>
    </row>
    <row r="86" spans="1:6" x14ac:dyDescent="0.3">
      <c r="A86" t="s">
        <v>91</v>
      </c>
      <c r="B86" t="s">
        <v>18</v>
      </c>
      <c r="C86" t="s">
        <v>48</v>
      </c>
      <c r="D86" s="13">
        <v>45658</v>
      </c>
      <c r="E86">
        <v>1539741.89831293</v>
      </c>
      <c r="F86" t="s">
        <v>132</v>
      </c>
    </row>
    <row r="87" spans="1:6" x14ac:dyDescent="0.3">
      <c r="A87" t="s">
        <v>91</v>
      </c>
      <c r="B87" t="s">
        <v>18</v>
      </c>
      <c r="C87" t="s">
        <v>48</v>
      </c>
      <c r="D87" s="13">
        <v>45689</v>
      </c>
      <c r="E87">
        <v>1539741.89831293</v>
      </c>
      <c r="F87" t="s">
        <v>132</v>
      </c>
    </row>
    <row r="88" spans="1:6" x14ac:dyDescent="0.3">
      <c r="A88" t="s">
        <v>91</v>
      </c>
      <c r="B88" t="s">
        <v>18</v>
      </c>
      <c r="C88" t="s">
        <v>48</v>
      </c>
      <c r="D88" s="13">
        <v>45717</v>
      </c>
      <c r="E88">
        <v>1539741.89831293</v>
      </c>
      <c r="F88" t="s">
        <v>132</v>
      </c>
    </row>
    <row r="89" spans="1:6" x14ac:dyDescent="0.3">
      <c r="A89" t="s">
        <v>91</v>
      </c>
      <c r="B89" t="s">
        <v>18</v>
      </c>
      <c r="C89" t="s">
        <v>48</v>
      </c>
      <c r="D89" s="13">
        <v>45748</v>
      </c>
      <c r="E89">
        <v>1539741.89831293</v>
      </c>
      <c r="F89" t="s">
        <v>132</v>
      </c>
    </row>
    <row r="90" spans="1:6" x14ac:dyDescent="0.3">
      <c r="A90" t="s">
        <v>91</v>
      </c>
      <c r="B90" t="s">
        <v>18</v>
      </c>
      <c r="C90" t="s">
        <v>48</v>
      </c>
      <c r="D90" s="13">
        <v>45778</v>
      </c>
      <c r="E90">
        <v>1539741.89831293</v>
      </c>
      <c r="F90" t="s">
        <v>132</v>
      </c>
    </row>
    <row r="91" spans="1:6" x14ac:dyDescent="0.3">
      <c r="A91" t="s">
        <v>91</v>
      </c>
      <c r="B91" t="s">
        <v>18</v>
      </c>
      <c r="C91" t="s">
        <v>48</v>
      </c>
      <c r="D91" s="13">
        <v>45809</v>
      </c>
      <c r="E91">
        <v>1539741.89831293</v>
      </c>
      <c r="F91" t="s">
        <v>132</v>
      </c>
    </row>
    <row r="92" spans="1:6" x14ac:dyDescent="0.3">
      <c r="A92" t="s">
        <v>91</v>
      </c>
      <c r="B92" t="s">
        <v>18</v>
      </c>
      <c r="C92" t="s">
        <v>48</v>
      </c>
      <c r="D92" s="13">
        <v>45839</v>
      </c>
      <c r="E92">
        <v>1539741.89831293</v>
      </c>
      <c r="F92" t="s">
        <v>132</v>
      </c>
    </row>
    <row r="93" spans="1:6" x14ac:dyDescent="0.3">
      <c r="A93" t="s">
        <v>91</v>
      </c>
      <c r="B93" t="s">
        <v>18</v>
      </c>
      <c r="C93" t="s">
        <v>48</v>
      </c>
      <c r="D93" s="13">
        <v>45870</v>
      </c>
      <c r="E93">
        <v>1539741.89831293</v>
      </c>
      <c r="F93" t="s">
        <v>132</v>
      </c>
    </row>
    <row r="94" spans="1:6" x14ac:dyDescent="0.3">
      <c r="A94" t="s">
        <v>91</v>
      </c>
      <c r="B94" t="s">
        <v>18</v>
      </c>
      <c r="C94" t="s">
        <v>48</v>
      </c>
      <c r="D94" s="13">
        <v>45901</v>
      </c>
      <c r="E94">
        <v>1539741.89831293</v>
      </c>
      <c r="F94" t="s">
        <v>132</v>
      </c>
    </row>
    <row r="95" spans="1:6" x14ac:dyDescent="0.3">
      <c r="A95" t="s">
        <v>91</v>
      </c>
      <c r="B95" t="s">
        <v>18</v>
      </c>
      <c r="C95" t="s">
        <v>48</v>
      </c>
      <c r="D95" s="13">
        <v>45931</v>
      </c>
      <c r="E95">
        <v>1539741.89831293</v>
      </c>
      <c r="F95" t="s">
        <v>132</v>
      </c>
    </row>
    <row r="96" spans="1:6" x14ac:dyDescent="0.3">
      <c r="A96" t="s">
        <v>91</v>
      </c>
      <c r="B96" t="s">
        <v>18</v>
      </c>
      <c r="C96" t="s">
        <v>48</v>
      </c>
      <c r="D96" s="13">
        <v>45962</v>
      </c>
      <c r="E96">
        <v>1539741.89831293</v>
      </c>
      <c r="F96" t="s">
        <v>132</v>
      </c>
    </row>
    <row r="97" spans="1:6" x14ac:dyDescent="0.3">
      <c r="A97" t="s">
        <v>91</v>
      </c>
      <c r="B97" t="s">
        <v>18</v>
      </c>
      <c r="C97" t="s">
        <v>48</v>
      </c>
      <c r="D97" s="13">
        <v>45992</v>
      </c>
      <c r="E97">
        <v>1539741.89831293</v>
      </c>
      <c r="F97" t="s">
        <v>132</v>
      </c>
    </row>
    <row r="98" spans="1:6" x14ac:dyDescent="0.3">
      <c r="A98" t="s">
        <v>91</v>
      </c>
      <c r="B98" t="s">
        <v>17</v>
      </c>
      <c r="C98" t="s">
        <v>32</v>
      </c>
      <c r="D98" s="13">
        <v>45658</v>
      </c>
      <c r="E98">
        <v>594389.74846967403</v>
      </c>
      <c r="F98" t="s">
        <v>135</v>
      </c>
    </row>
    <row r="99" spans="1:6" x14ac:dyDescent="0.3">
      <c r="A99" t="s">
        <v>91</v>
      </c>
      <c r="B99" t="s">
        <v>17</v>
      </c>
      <c r="C99" t="s">
        <v>32</v>
      </c>
      <c r="D99" s="13">
        <v>45689</v>
      </c>
      <c r="E99">
        <v>654755.05247511703</v>
      </c>
      <c r="F99" t="s">
        <v>135</v>
      </c>
    </row>
    <row r="100" spans="1:6" x14ac:dyDescent="0.3">
      <c r="A100" t="s">
        <v>91</v>
      </c>
      <c r="B100" t="s">
        <v>17</v>
      </c>
      <c r="C100" t="s">
        <v>32</v>
      </c>
      <c r="D100" s="13">
        <v>45717</v>
      </c>
      <c r="E100">
        <v>762497.05155056203</v>
      </c>
      <c r="F100" t="s">
        <v>135</v>
      </c>
    </row>
    <row r="101" spans="1:6" x14ac:dyDescent="0.3">
      <c r="A101" t="s">
        <v>91</v>
      </c>
      <c r="B101" t="s">
        <v>17</v>
      </c>
      <c r="C101" t="s">
        <v>32</v>
      </c>
      <c r="D101" s="13">
        <v>45748</v>
      </c>
      <c r="E101">
        <v>798901.16833800403</v>
      </c>
      <c r="F101" t="s">
        <v>135</v>
      </c>
    </row>
    <row r="102" spans="1:6" x14ac:dyDescent="0.3">
      <c r="A102" t="s">
        <v>91</v>
      </c>
      <c r="B102" t="s">
        <v>17</v>
      </c>
      <c r="C102" t="s">
        <v>32</v>
      </c>
      <c r="D102" s="13">
        <v>45778</v>
      </c>
      <c r="E102">
        <v>718701.62325884996</v>
      </c>
      <c r="F102" t="s">
        <v>135</v>
      </c>
    </row>
    <row r="103" spans="1:6" x14ac:dyDescent="0.3">
      <c r="A103" t="s">
        <v>91</v>
      </c>
      <c r="B103" t="s">
        <v>17</v>
      </c>
      <c r="C103" t="s">
        <v>32</v>
      </c>
      <c r="D103" s="13">
        <v>45809</v>
      </c>
      <c r="E103">
        <v>679298.93643700005</v>
      </c>
      <c r="F103" t="s">
        <v>135</v>
      </c>
    </row>
    <row r="104" spans="1:6" x14ac:dyDescent="0.3">
      <c r="A104" t="s">
        <v>91</v>
      </c>
      <c r="B104" t="s">
        <v>17</v>
      </c>
      <c r="C104" t="s">
        <v>32</v>
      </c>
      <c r="D104" s="13">
        <v>45839</v>
      </c>
      <c r="E104">
        <v>550659.43916571501</v>
      </c>
      <c r="F104" t="s">
        <v>135</v>
      </c>
    </row>
    <row r="105" spans="1:6" x14ac:dyDescent="0.3">
      <c r="A105" t="s">
        <v>91</v>
      </c>
      <c r="B105" t="s">
        <v>17</v>
      </c>
      <c r="C105" t="s">
        <v>32</v>
      </c>
      <c r="D105" s="13">
        <v>45870</v>
      </c>
      <c r="E105">
        <v>500280.19480502699</v>
      </c>
      <c r="F105" t="s">
        <v>135</v>
      </c>
    </row>
    <row r="106" spans="1:6" x14ac:dyDescent="0.3">
      <c r="A106" t="s">
        <v>91</v>
      </c>
      <c r="B106" t="s">
        <v>17</v>
      </c>
      <c r="C106" t="s">
        <v>32</v>
      </c>
      <c r="D106" s="13">
        <v>45901</v>
      </c>
      <c r="E106">
        <v>797141.98774690402</v>
      </c>
      <c r="F106" t="s">
        <v>135</v>
      </c>
    </row>
    <row r="107" spans="1:6" x14ac:dyDescent="0.3">
      <c r="A107" t="s">
        <v>91</v>
      </c>
      <c r="B107" t="s">
        <v>17</v>
      </c>
      <c r="C107" t="s">
        <v>32</v>
      </c>
      <c r="D107" s="13">
        <v>45931</v>
      </c>
      <c r="E107">
        <v>1042540.72640455</v>
      </c>
      <c r="F107" t="s">
        <v>135</v>
      </c>
    </row>
    <row r="108" spans="1:6" x14ac:dyDescent="0.3">
      <c r="A108" t="s">
        <v>91</v>
      </c>
      <c r="B108" t="s">
        <v>17</v>
      </c>
      <c r="C108" t="s">
        <v>32</v>
      </c>
      <c r="D108" s="13">
        <v>45962</v>
      </c>
      <c r="E108">
        <v>931217.06986752397</v>
      </c>
      <c r="F108" t="s">
        <v>135</v>
      </c>
    </row>
    <row r="109" spans="1:6" x14ac:dyDescent="0.3">
      <c r="A109" t="s">
        <v>91</v>
      </c>
      <c r="B109" t="s">
        <v>17</v>
      </c>
      <c r="C109" t="s">
        <v>32</v>
      </c>
      <c r="D109" s="13">
        <v>45992</v>
      </c>
      <c r="E109">
        <v>690225.44359521603</v>
      </c>
      <c r="F109" t="s">
        <v>135</v>
      </c>
    </row>
    <row r="110" spans="1:6" x14ac:dyDescent="0.3">
      <c r="A110" t="s">
        <v>91</v>
      </c>
      <c r="B110" t="s">
        <v>19</v>
      </c>
      <c r="C110" t="s">
        <v>19</v>
      </c>
      <c r="D110" s="13">
        <v>45658</v>
      </c>
      <c r="E110">
        <v>98844.251744617504</v>
      </c>
      <c r="F110" t="s">
        <v>140</v>
      </c>
    </row>
    <row r="111" spans="1:6" x14ac:dyDescent="0.3">
      <c r="A111" t="s">
        <v>91</v>
      </c>
      <c r="B111" t="s">
        <v>19</v>
      </c>
      <c r="C111" t="s">
        <v>19</v>
      </c>
      <c r="D111" s="13">
        <v>45689</v>
      </c>
      <c r="E111">
        <v>98844.251744617504</v>
      </c>
      <c r="F111" t="s">
        <v>140</v>
      </c>
    </row>
    <row r="112" spans="1:6" x14ac:dyDescent="0.3">
      <c r="A112" t="s">
        <v>91</v>
      </c>
      <c r="B112" t="s">
        <v>19</v>
      </c>
      <c r="C112" t="s">
        <v>19</v>
      </c>
      <c r="D112" s="13">
        <v>45717</v>
      </c>
      <c r="E112">
        <v>98581.501038982504</v>
      </c>
      <c r="F112" t="s">
        <v>140</v>
      </c>
    </row>
    <row r="113" spans="1:6" x14ac:dyDescent="0.3">
      <c r="A113" t="s">
        <v>91</v>
      </c>
      <c r="B113" t="s">
        <v>19</v>
      </c>
      <c r="C113" t="s">
        <v>19</v>
      </c>
      <c r="D113" s="13">
        <v>45748</v>
      </c>
      <c r="E113">
        <v>98581.501038982504</v>
      </c>
      <c r="F113" t="s">
        <v>140</v>
      </c>
    </row>
    <row r="114" spans="1:6" x14ac:dyDescent="0.3">
      <c r="A114" t="s">
        <v>91</v>
      </c>
      <c r="B114" t="s">
        <v>19</v>
      </c>
      <c r="C114" t="s">
        <v>19</v>
      </c>
      <c r="D114" s="13">
        <v>45778</v>
      </c>
      <c r="E114">
        <v>98581.501038982504</v>
      </c>
      <c r="F114" t="s">
        <v>140</v>
      </c>
    </row>
    <row r="115" spans="1:6" x14ac:dyDescent="0.3">
      <c r="A115" t="s">
        <v>91</v>
      </c>
      <c r="B115" t="s">
        <v>19</v>
      </c>
      <c r="C115" t="s">
        <v>19</v>
      </c>
      <c r="D115" s="13">
        <v>45809</v>
      </c>
      <c r="E115">
        <v>98586.819220999998</v>
      </c>
      <c r="F115" t="s">
        <v>140</v>
      </c>
    </row>
    <row r="116" spans="1:6" x14ac:dyDescent="0.3">
      <c r="A116" t="s">
        <v>91</v>
      </c>
      <c r="B116" t="s">
        <v>19</v>
      </c>
      <c r="C116" t="s">
        <v>19</v>
      </c>
      <c r="D116" s="13">
        <v>45839</v>
      </c>
      <c r="E116">
        <v>98771.160785</v>
      </c>
      <c r="F116" t="s">
        <v>140</v>
      </c>
    </row>
    <row r="117" spans="1:6" x14ac:dyDescent="0.3">
      <c r="A117" t="s">
        <v>91</v>
      </c>
      <c r="B117" t="s">
        <v>19</v>
      </c>
      <c r="C117" t="s">
        <v>19</v>
      </c>
      <c r="D117" s="13">
        <v>45870</v>
      </c>
      <c r="E117">
        <v>98940.653833999997</v>
      </c>
      <c r="F117" t="s">
        <v>140</v>
      </c>
    </row>
    <row r="118" spans="1:6" x14ac:dyDescent="0.3">
      <c r="A118" t="s">
        <v>91</v>
      </c>
      <c r="B118" t="s">
        <v>19</v>
      </c>
      <c r="C118" t="s">
        <v>19</v>
      </c>
      <c r="D118" s="13">
        <v>45901</v>
      </c>
      <c r="E118">
        <v>98732.896833999999</v>
      </c>
      <c r="F118" t="s">
        <v>140</v>
      </c>
    </row>
    <row r="119" spans="1:6" x14ac:dyDescent="0.3">
      <c r="A119" t="s">
        <v>91</v>
      </c>
      <c r="B119" t="s">
        <v>19</v>
      </c>
      <c r="C119" t="s">
        <v>19</v>
      </c>
      <c r="D119" s="13">
        <v>45931</v>
      </c>
      <c r="E119">
        <v>98732.896833999999</v>
      </c>
      <c r="F119" t="s">
        <v>140</v>
      </c>
    </row>
    <row r="120" spans="1:6" x14ac:dyDescent="0.3">
      <c r="A120" t="s">
        <v>91</v>
      </c>
      <c r="B120" t="s">
        <v>19</v>
      </c>
      <c r="C120" t="s">
        <v>19</v>
      </c>
      <c r="D120" s="13">
        <v>45962</v>
      </c>
      <c r="E120">
        <v>98732.896833999999</v>
      </c>
      <c r="F120" t="s">
        <v>140</v>
      </c>
    </row>
    <row r="121" spans="1:6" x14ac:dyDescent="0.3">
      <c r="A121" t="s">
        <v>91</v>
      </c>
      <c r="B121" t="s">
        <v>19</v>
      </c>
      <c r="C121" t="s">
        <v>19</v>
      </c>
      <c r="D121" s="13">
        <v>45992</v>
      </c>
      <c r="E121">
        <v>98732.896833999999</v>
      </c>
      <c r="F121" t="s">
        <v>140</v>
      </c>
    </row>
    <row r="122" spans="1:6" x14ac:dyDescent="0.3">
      <c r="A122" t="s">
        <v>91</v>
      </c>
      <c r="B122" t="s">
        <v>22</v>
      </c>
      <c r="C122" t="s">
        <v>49</v>
      </c>
      <c r="D122" s="13">
        <v>45658</v>
      </c>
      <c r="E122">
        <v>17658.308619874999</v>
      </c>
      <c r="F122" t="s">
        <v>141</v>
      </c>
    </row>
    <row r="123" spans="1:6" x14ac:dyDescent="0.3">
      <c r="A123" t="s">
        <v>91</v>
      </c>
      <c r="B123" t="s">
        <v>22</v>
      </c>
      <c r="C123" t="s">
        <v>49</v>
      </c>
      <c r="D123" s="13">
        <v>45689</v>
      </c>
      <c r="E123">
        <v>12474.306497125001</v>
      </c>
      <c r="F123" t="s">
        <v>141</v>
      </c>
    </row>
    <row r="124" spans="1:6" x14ac:dyDescent="0.3">
      <c r="A124" t="s">
        <v>91</v>
      </c>
      <c r="B124" t="s">
        <v>22</v>
      </c>
      <c r="C124" t="s">
        <v>49</v>
      </c>
      <c r="D124" s="13">
        <v>45717</v>
      </c>
      <c r="E124">
        <v>15709.4058</v>
      </c>
      <c r="F124" t="s">
        <v>141</v>
      </c>
    </row>
    <row r="125" spans="1:6" x14ac:dyDescent="0.3">
      <c r="A125" t="s">
        <v>91</v>
      </c>
      <c r="B125" t="s">
        <v>22</v>
      </c>
      <c r="C125" t="s">
        <v>49</v>
      </c>
      <c r="D125" s="13">
        <v>45748</v>
      </c>
      <c r="E125">
        <v>14632.893</v>
      </c>
      <c r="F125" t="s">
        <v>141</v>
      </c>
    </row>
    <row r="126" spans="1:6" x14ac:dyDescent="0.3">
      <c r="A126" t="s">
        <v>91</v>
      </c>
      <c r="B126" t="s">
        <v>22</v>
      </c>
      <c r="C126" t="s">
        <v>49</v>
      </c>
      <c r="D126" s="13">
        <v>45778</v>
      </c>
      <c r="E126">
        <v>16361.7289</v>
      </c>
      <c r="F126" t="s">
        <v>141</v>
      </c>
    </row>
    <row r="127" spans="1:6" x14ac:dyDescent="0.3">
      <c r="A127" t="s">
        <v>91</v>
      </c>
      <c r="B127" t="s">
        <v>22</v>
      </c>
      <c r="C127" t="s">
        <v>49</v>
      </c>
      <c r="D127" s="13">
        <v>45809</v>
      </c>
      <c r="E127">
        <v>20406.097634999998</v>
      </c>
      <c r="F127" t="s">
        <v>141</v>
      </c>
    </row>
    <row r="128" spans="1:6" x14ac:dyDescent="0.3">
      <c r="A128" t="s">
        <v>91</v>
      </c>
      <c r="B128" t="s">
        <v>22</v>
      </c>
      <c r="C128" t="s">
        <v>49</v>
      </c>
      <c r="D128" s="13">
        <v>45839</v>
      </c>
      <c r="E128">
        <v>16432.215029999999</v>
      </c>
      <c r="F128" t="s">
        <v>141</v>
      </c>
    </row>
    <row r="129" spans="1:6" x14ac:dyDescent="0.3">
      <c r="A129" t="s">
        <v>91</v>
      </c>
      <c r="B129" t="s">
        <v>22</v>
      </c>
      <c r="C129" t="s">
        <v>49</v>
      </c>
      <c r="D129" s="13">
        <v>45870</v>
      </c>
      <c r="E129">
        <v>13968.28356</v>
      </c>
      <c r="F129" t="s">
        <v>141</v>
      </c>
    </row>
    <row r="130" spans="1:6" x14ac:dyDescent="0.3">
      <c r="A130" t="s">
        <v>91</v>
      </c>
      <c r="B130" t="s">
        <v>22</v>
      </c>
      <c r="C130" t="s">
        <v>49</v>
      </c>
      <c r="D130" s="13">
        <v>45901</v>
      </c>
      <c r="E130">
        <v>16171.699005</v>
      </c>
      <c r="F130" t="s">
        <v>141</v>
      </c>
    </row>
    <row r="131" spans="1:6" x14ac:dyDescent="0.3">
      <c r="A131" t="s">
        <v>91</v>
      </c>
      <c r="B131" t="s">
        <v>22</v>
      </c>
      <c r="C131" t="s">
        <v>49</v>
      </c>
      <c r="D131" s="13">
        <v>45931</v>
      </c>
      <c r="E131">
        <v>18664.33107</v>
      </c>
      <c r="F131" t="s">
        <v>141</v>
      </c>
    </row>
    <row r="132" spans="1:6" x14ac:dyDescent="0.3">
      <c r="A132" t="s">
        <v>91</v>
      </c>
      <c r="B132" t="s">
        <v>22</v>
      </c>
      <c r="C132" t="s">
        <v>49</v>
      </c>
      <c r="D132" s="13">
        <v>45962</v>
      </c>
      <c r="E132">
        <v>14523.631815000001</v>
      </c>
      <c r="F132" t="s">
        <v>141</v>
      </c>
    </row>
    <row r="133" spans="1:6" x14ac:dyDescent="0.3">
      <c r="A133" t="s">
        <v>91</v>
      </c>
      <c r="B133" t="s">
        <v>22</v>
      </c>
      <c r="C133" t="s">
        <v>49</v>
      </c>
      <c r="D133" s="13">
        <v>45992</v>
      </c>
      <c r="E133">
        <v>35025.6205327875</v>
      </c>
      <c r="F133" t="s">
        <v>141</v>
      </c>
    </row>
    <row r="134" spans="1:6" x14ac:dyDescent="0.3">
      <c r="A134" t="s">
        <v>91</v>
      </c>
      <c r="B134" t="s">
        <v>21</v>
      </c>
      <c r="C134" t="s">
        <v>21</v>
      </c>
      <c r="D134" s="13">
        <v>45658</v>
      </c>
      <c r="E134">
        <v>14849.600051047801</v>
      </c>
      <c r="F134" t="s">
        <v>143</v>
      </c>
    </row>
    <row r="135" spans="1:6" x14ac:dyDescent="0.3">
      <c r="A135" t="s">
        <v>91</v>
      </c>
      <c r="B135" t="s">
        <v>21</v>
      </c>
      <c r="C135" t="s">
        <v>21</v>
      </c>
      <c r="D135" s="13">
        <v>45689</v>
      </c>
      <c r="E135">
        <v>10407.952020766799</v>
      </c>
      <c r="F135" t="s">
        <v>143</v>
      </c>
    </row>
    <row r="136" spans="1:6" x14ac:dyDescent="0.3">
      <c r="A136" t="s">
        <v>91</v>
      </c>
      <c r="B136" t="s">
        <v>21</v>
      </c>
      <c r="C136" t="s">
        <v>21</v>
      </c>
      <c r="D136" s="13">
        <v>45717</v>
      </c>
      <c r="E136">
        <v>0</v>
      </c>
      <c r="F136" t="s">
        <v>143</v>
      </c>
    </row>
    <row r="137" spans="1:6" x14ac:dyDescent="0.3">
      <c r="A137" t="s">
        <v>91</v>
      </c>
      <c r="B137" t="s">
        <v>21</v>
      </c>
      <c r="C137" t="s">
        <v>21</v>
      </c>
      <c r="D137" s="13">
        <v>45748</v>
      </c>
      <c r="E137">
        <v>4454.309475</v>
      </c>
      <c r="F137" t="s">
        <v>143</v>
      </c>
    </row>
    <row r="138" spans="1:6" x14ac:dyDescent="0.3">
      <c r="A138" t="s">
        <v>91</v>
      </c>
      <c r="B138" t="s">
        <v>21</v>
      </c>
      <c r="C138" t="s">
        <v>21</v>
      </c>
      <c r="D138" s="13">
        <v>45778</v>
      </c>
      <c r="E138">
        <v>8445.1326411374994</v>
      </c>
      <c r="F138" t="s">
        <v>143</v>
      </c>
    </row>
    <row r="139" spans="1:6" x14ac:dyDescent="0.3">
      <c r="A139" t="s">
        <v>91</v>
      </c>
      <c r="B139" t="s">
        <v>21</v>
      </c>
      <c r="C139" t="s">
        <v>21</v>
      </c>
      <c r="D139" s="13">
        <v>45809</v>
      </c>
      <c r="E139">
        <v>8833.1198051249994</v>
      </c>
      <c r="F139" t="s">
        <v>143</v>
      </c>
    </row>
    <row r="140" spans="1:6" x14ac:dyDescent="0.3">
      <c r="A140" t="s">
        <v>91</v>
      </c>
      <c r="B140" t="s">
        <v>21</v>
      </c>
      <c r="C140" t="s">
        <v>21</v>
      </c>
      <c r="D140" s="13">
        <v>45839</v>
      </c>
      <c r="E140">
        <v>11727.664571699999</v>
      </c>
      <c r="F140" t="s">
        <v>143</v>
      </c>
    </row>
    <row r="141" spans="1:6" x14ac:dyDescent="0.3">
      <c r="A141" t="s">
        <v>91</v>
      </c>
      <c r="B141" t="s">
        <v>21</v>
      </c>
      <c r="C141" t="s">
        <v>21</v>
      </c>
      <c r="D141" s="13">
        <v>45870</v>
      </c>
      <c r="E141">
        <v>2298.7738706625</v>
      </c>
      <c r="F141" t="s">
        <v>143</v>
      </c>
    </row>
    <row r="142" spans="1:6" x14ac:dyDescent="0.3">
      <c r="A142" t="s">
        <v>91</v>
      </c>
      <c r="B142" t="s">
        <v>21</v>
      </c>
      <c r="C142" t="s">
        <v>21</v>
      </c>
      <c r="D142" s="13">
        <v>45901</v>
      </c>
      <c r="E142">
        <v>0</v>
      </c>
      <c r="F142" t="s">
        <v>143</v>
      </c>
    </row>
    <row r="143" spans="1:6" x14ac:dyDescent="0.3">
      <c r="A143" t="s">
        <v>91</v>
      </c>
      <c r="B143" t="s">
        <v>21</v>
      </c>
      <c r="C143" t="s">
        <v>21</v>
      </c>
      <c r="D143" s="13">
        <v>45931</v>
      </c>
      <c r="E143">
        <v>12002.4450401625</v>
      </c>
      <c r="F143" t="s">
        <v>143</v>
      </c>
    </row>
    <row r="144" spans="1:6" x14ac:dyDescent="0.3">
      <c r="A144" t="s">
        <v>91</v>
      </c>
      <c r="B144" t="s">
        <v>21</v>
      </c>
      <c r="C144" t="s">
        <v>21</v>
      </c>
      <c r="D144" s="13">
        <v>45962</v>
      </c>
      <c r="E144">
        <v>6081.5051450999999</v>
      </c>
      <c r="F144" t="s">
        <v>143</v>
      </c>
    </row>
    <row r="145" spans="1:6" x14ac:dyDescent="0.3">
      <c r="A145" t="s">
        <v>91</v>
      </c>
      <c r="B145" t="s">
        <v>21</v>
      </c>
      <c r="C145" t="s">
        <v>21</v>
      </c>
      <c r="D145" s="13">
        <v>45992</v>
      </c>
      <c r="E145">
        <v>7952.3431391249997</v>
      </c>
      <c r="F145" t="s">
        <v>143</v>
      </c>
    </row>
    <row r="146" spans="1:6" x14ac:dyDescent="0.3">
      <c r="A146" t="s">
        <v>91</v>
      </c>
      <c r="B146" t="s">
        <v>20</v>
      </c>
      <c r="C146" t="s">
        <v>44</v>
      </c>
      <c r="D146" s="13">
        <v>45658</v>
      </c>
      <c r="E146">
        <v>103700.16645883099</v>
      </c>
      <c r="F146" t="s">
        <v>144</v>
      </c>
    </row>
    <row r="147" spans="1:6" x14ac:dyDescent="0.3">
      <c r="A147" t="s">
        <v>91</v>
      </c>
      <c r="B147" t="s">
        <v>20</v>
      </c>
      <c r="C147" t="s">
        <v>44</v>
      </c>
      <c r="D147" s="13">
        <v>45689</v>
      </c>
      <c r="E147">
        <v>44373.95016285</v>
      </c>
      <c r="F147" t="s">
        <v>144</v>
      </c>
    </row>
    <row r="148" spans="1:6" x14ac:dyDescent="0.3">
      <c r="A148" t="s">
        <v>91</v>
      </c>
      <c r="B148" t="s">
        <v>20</v>
      </c>
      <c r="C148" t="s">
        <v>44</v>
      </c>
      <c r="D148" s="13">
        <v>45717</v>
      </c>
      <c r="E148">
        <v>67523.009399999995</v>
      </c>
      <c r="F148" t="s">
        <v>144</v>
      </c>
    </row>
    <row r="149" spans="1:6" x14ac:dyDescent="0.3">
      <c r="A149" t="s">
        <v>91</v>
      </c>
      <c r="B149" t="s">
        <v>20</v>
      </c>
      <c r="C149" t="s">
        <v>44</v>
      </c>
      <c r="D149" s="13">
        <v>45748</v>
      </c>
      <c r="E149">
        <v>26145.365399999999</v>
      </c>
      <c r="F149" t="s">
        <v>144</v>
      </c>
    </row>
    <row r="150" spans="1:6" x14ac:dyDescent="0.3">
      <c r="A150" t="s">
        <v>91</v>
      </c>
      <c r="B150" t="s">
        <v>20</v>
      </c>
      <c r="C150" t="s">
        <v>44</v>
      </c>
      <c r="D150" s="13">
        <v>45778</v>
      </c>
      <c r="E150">
        <v>27428.69745</v>
      </c>
      <c r="F150" t="s">
        <v>144</v>
      </c>
    </row>
    <row r="151" spans="1:6" x14ac:dyDescent="0.3">
      <c r="A151" t="s">
        <v>91</v>
      </c>
      <c r="B151" t="s">
        <v>20</v>
      </c>
      <c r="C151" t="s">
        <v>44</v>
      </c>
      <c r="D151" s="13">
        <v>45809</v>
      </c>
      <c r="E151">
        <v>63358.628024999998</v>
      </c>
      <c r="F151" t="s">
        <v>144</v>
      </c>
    </row>
    <row r="152" spans="1:6" x14ac:dyDescent="0.3">
      <c r="A152" t="s">
        <v>91</v>
      </c>
      <c r="B152" t="s">
        <v>20</v>
      </c>
      <c r="C152" t="s">
        <v>44</v>
      </c>
      <c r="D152" s="13">
        <v>45839</v>
      </c>
      <c r="E152">
        <v>41498.100104999998</v>
      </c>
      <c r="F152" t="s">
        <v>144</v>
      </c>
    </row>
    <row r="153" spans="1:6" x14ac:dyDescent="0.3">
      <c r="A153" t="s">
        <v>91</v>
      </c>
      <c r="B153" t="s">
        <v>20</v>
      </c>
      <c r="C153" t="s">
        <v>44</v>
      </c>
      <c r="D153" s="13">
        <v>45870</v>
      </c>
      <c r="E153">
        <v>39352.454295000003</v>
      </c>
      <c r="F153" t="s">
        <v>144</v>
      </c>
    </row>
    <row r="154" spans="1:6" x14ac:dyDescent="0.3">
      <c r="A154" t="s">
        <v>91</v>
      </c>
      <c r="B154" t="s">
        <v>20</v>
      </c>
      <c r="C154" t="s">
        <v>44</v>
      </c>
      <c r="D154" s="13">
        <v>45901</v>
      </c>
      <c r="E154">
        <v>36790.465635</v>
      </c>
      <c r="F154" t="s">
        <v>144</v>
      </c>
    </row>
    <row r="155" spans="1:6" x14ac:dyDescent="0.3">
      <c r="A155" t="s">
        <v>91</v>
      </c>
      <c r="B155" t="s">
        <v>20</v>
      </c>
      <c r="C155" t="s">
        <v>44</v>
      </c>
      <c r="D155" s="13">
        <v>45931</v>
      </c>
      <c r="E155">
        <v>38847.11292</v>
      </c>
      <c r="F155" t="s">
        <v>144</v>
      </c>
    </row>
    <row r="156" spans="1:6" x14ac:dyDescent="0.3">
      <c r="A156" t="s">
        <v>91</v>
      </c>
      <c r="B156" t="s">
        <v>20</v>
      </c>
      <c r="C156" t="s">
        <v>44</v>
      </c>
      <c r="D156" s="13">
        <v>45962</v>
      </c>
      <c r="E156">
        <v>40944.657599999999</v>
      </c>
      <c r="F156" t="s">
        <v>144</v>
      </c>
    </row>
    <row r="157" spans="1:6" x14ac:dyDescent="0.3">
      <c r="A157" t="s">
        <v>91</v>
      </c>
      <c r="B157" t="s">
        <v>20</v>
      </c>
      <c r="C157" t="s">
        <v>44</v>
      </c>
      <c r="D157" s="13">
        <v>45992</v>
      </c>
      <c r="E157">
        <v>42889.018094999999</v>
      </c>
      <c r="F157" t="s">
        <v>144</v>
      </c>
    </row>
    <row r="158" spans="1:6" x14ac:dyDescent="0.3">
      <c r="A158" t="s">
        <v>92</v>
      </c>
      <c r="D158" s="13">
        <v>45658</v>
      </c>
      <c r="E158">
        <v>157711.01661199983</v>
      </c>
      <c r="F158" t="s">
        <v>92</v>
      </c>
    </row>
    <row r="159" spans="1:6" x14ac:dyDescent="0.3">
      <c r="A159" t="s">
        <v>92</v>
      </c>
      <c r="D159" s="13">
        <v>45689</v>
      </c>
      <c r="E159">
        <v>1070145.5691772541</v>
      </c>
      <c r="F159" t="s">
        <v>92</v>
      </c>
    </row>
    <row r="160" spans="1:6" x14ac:dyDescent="0.3">
      <c r="A160" t="s">
        <v>92</v>
      </c>
      <c r="D160" s="13">
        <v>45717</v>
      </c>
      <c r="E160">
        <v>2310084.165365716</v>
      </c>
      <c r="F160" t="s">
        <v>92</v>
      </c>
    </row>
    <row r="161" spans="1:6" x14ac:dyDescent="0.3">
      <c r="A161" t="s">
        <v>92</v>
      </c>
      <c r="D161" s="13">
        <v>45748</v>
      </c>
      <c r="E161">
        <v>2099136.5623098621</v>
      </c>
      <c r="F161" t="s">
        <v>92</v>
      </c>
    </row>
    <row r="162" spans="1:6" x14ac:dyDescent="0.3">
      <c r="A162" t="s">
        <v>92</v>
      </c>
      <c r="D162" s="13">
        <v>45778</v>
      </c>
      <c r="E162">
        <v>1756669.2889716644</v>
      </c>
      <c r="F162" t="s">
        <v>92</v>
      </c>
    </row>
    <row r="163" spans="1:6" x14ac:dyDescent="0.3">
      <c r="A163" t="s">
        <v>92</v>
      </c>
      <c r="D163" s="13">
        <v>45809</v>
      </c>
      <c r="E163">
        <v>1027297.7655348442</v>
      </c>
      <c r="F163" t="s">
        <v>92</v>
      </c>
    </row>
    <row r="164" spans="1:6" x14ac:dyDescent="0.3">
      <c r="A164" t="s">
        <v>92</v>
      </c>
      <c r="D164" s="13">
        <v>45839</v>
      </c>
      <c r="E164">
        <v>405300.30991394864</v>
      </c>
      <c r="F164" t="s">
        <v>92</v>
      </c>
    </row>
    <row r="165" spans="1:6" x14ac:dyDescent="0.3">
      <c r="A165" t="s">
        <v>92</v>
      </c>
      <c r="D165" s="13">
        <v>45870</v>
      </c>
      <c r="E165">
        <v>1028509.2097577592</v>
      </c>
      <c r="F165" t="s">
        <v>92</v>
      </c>
    </row>
    <row r="166" spans="1:6" x14ac:dyDescent="0.3">
      <c r="A166" t="s">
        <v>92</v>
      </c>
      <c r="D166" s="13">
        <v>45901</v>
      </c>
      <c r="E166">
        <v>2628585.8508839523</v>
      </c>
      <c r="F166" t="s">
        <v>92</v>
      </c>
    </row>
    <row r="167" spans="1:6" x14ac:dyDescent="0.3">
      <c r="A167" t="s">
        <v>92</v>
      </c>
      <c r="D167" s="13">
        <v>45931</v>
      </c>
      <c r="E167">
        <v>1817349.2897032034</v>
      </c>
      <c r="F167" t="s">
        <v>92</v>
      </c>
    </row>
    <row r="168" spans="1:6" x14ac:dyDescent="0.3">
      <c r="A168" t="s">
        <v>92</v>
      </c>
      <c r="D168" s="13">
        <v>45962</v>
      </c>
      <c r="E168">
        <v>2334188.002172438</v>
      </c>
      <c r="F168" t="s">
        <v>92</v>
      </c>
    </row>
    <row r="169" spans="1:6" x14ac:dyDescent="0.3">
      <c r="A169" t="s">
        <v>92</v>
      </c>
      <c r="D169" s="13">
        <v>45992</v>
      </c>
      <c r="E169">
        <v>2425803.825287045</v>
      </c>
      <c r="F169" t="s">
        <v>92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D566-14F4-4858-809A-8CDE33256E05}">
  <sheetPr>
    <tabColor theme="1"/>
  </sheetPr>
  <dimension ref="A1:V58"/>
  <sheetViews>
    <sheetView workbookViewId="0">
      <selection activeCell="J22" sqref="J22:J32"/>
    </sheetView>
  </sheetViews>
  <sheetFormatPr defaultRowHeight="14.4" x14ac:dyDescent="0.3"/>
  <cols>
    <col min="1" max="1" width="9.88671875" customWidth="1"/>
    <col min="5" max="22" width="9.5546875" customWidth="1"/>
  </cols>
  <sheetData>
    <row r="1" spans="1:22" x14ac:dyDescent="0.3">
      <c r="A1" t="s">
        <v>0</v>
      </c>
      <c r="B1" t="s">
        <v>28</v>
      </c>
      <c r="C1" t="s">
        <v>85</v>
      </c>
      <c r="D1" t="s">
        <v>86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</row>
    <row r="2" spans="1:22" x14ac:dyDescent="0.3">
      <c r="A2">
        <v>2003100005</v>
      </c>
      <c r="B2" t="s">
        <v>37</v>
      </c>
      <c r="C2" t="s">
        <v>87</v>
      </c>
      <c r="E2">
        <v>15253265.183500798</v>
      </c>
      <c r="F2">
        <v>21088785.627172202</v>
      </c>
      <c r="G2">
        <v>28741335.630000003</v>
      </c>
      <c r="H2">
        <v>26580932.569999997</v>
      </c>
      <c r="I2">
        <v>23988357.32</v>
      </c>
      <c r="J2">
        <v>19024409.09</v>
      </c>
      <c r="K2">
        <v>14219294.350000001</v>
      </c>
      <c r="L2">
        <v>17479568.300000001</v>
      </c>
      <c r="M2">
        <v>30454508.600000001</v>
      </c>
      <c r="N2">
        <v>27409176.349999998</v>
      </c>
      <c r="O2">
        <v>29731107.890000001</v>
      </c>
      <c r="P2">
        <v>28260518.369999997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2003100006</v>
      </c>
      <c r="B3" t="s">
        <v>38</v>
      </c>
      <c r="C3" t="s">
        <v>87</v>
      </c>
      <c r="E3">
        <v>1147673.5472020002</v>
      </c>
      <c r="F3">
        <v>1358569.75037</v>
      </c>
      <c r="G3">
        <v>1865549.31</v>
      </c>
      <c r="H3">
        <v>1798306.99</v>
      </c>
      <c r="I3">
        <v>1442012.0299999998</v>
      </c>
      <c r="J3">
        <v>1276426.21</v>
      </c>
      <c r="K3">
        <v>924149.82000000007</v>
      </c>
      <c r="L3">
        <v>1275012.28</v>
      </c>
      <c r="M3">
        <v>1870121.79</v>
      </c>
      <c r="N3">
        <v>1872141.15</v>
      </c>
      <c r="O3">
        <v>2161137.13</v>
      </c>
      <c r="P3">
        <v>1688403.08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2003100007</v>
      </c>
      <c r="B4" t="s">
        <v>39</v>
      </c>
      <c r="C4" t="s">
        <v>87</v>
      </c>
      <c r="E4">
        <v>1501984.7344124001</v>
      </c>
      <c r="F4">
        <v>1151264.0289695999</v>
      </c>
      <c r="G4">
        <v>1470333.47</v>
      </c>
      <c r="H4">
        <v>1628563.6500000001</v>
      </c>
      <c r="I4">
        <v>1562604.23</v>
      </c>
      <c r="J4">
        <v>1485195.23</v>
      </c>
      <c r="K4">
        <v>1131820.5599999998</v>
      </c>
      <c r="L4">
        <v>821780.29</v>
      </c>
      <c r="M4">
        <v>1303688.0299999998</v>
      </c>
      <c r="N4">
        <v>1535434.2</v>
      </c>
      <c r="O4">
        <v>1544790.7000000002</v>
      </c>
      <c r="P4">
        <v>1497762.41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2211200001</v>
      </c>
      <c r="B5" t="s">
        <v>40</v>
      </c>
      <c r="C5" t="s">
        <v>88</v>
      </c>
      <c r="E5">
        <v>9336788.7345072292</v>
      </c>
      <c r="F5">
        <v>12888477.307886399</v>
      </c>
      <c r="G5">
        <v>17560389.519540399</v>
      </c>
      <c r="H5">
        <v>16154015.0347334</v>
      </c>
      <c r="I5">
        <v>14572287.713533901</v>
      </c>
      <c r="J5">
        <v>11649164.578395</v>
      </c>
      <c r="K5">
        <v>8686540.3381481897</v>
      </c>
      <c r="L5">
        <v>10685746.351340899</v>
      </c>
      <c r="M5">
        <v>18480801.116032299</v>
      </c>
      <c r="N5">
        <v>16614971.9790882</v>
      </c>
      <c r="O5">
        <v>18080349.897248201</v>
      </c>
      <c r="P5">
        <v>17253623.790924098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2211200002</v>
      </c>
      <c r="B6" t="s">
        <v>41</v>
      </c>
      <c r="C6" t="s">
        <v>88</v>
      </c>
      <c r="E6">
        <v>723645.014940041</v>
      </c>
      <c r="F6">
        <v>851880.08741245605</v>
      </c>
      <c r="G6">
        <v>1172064.43630361</v>
      </c>
      <c r="H6">
        <v>1119928.4824158801</v>
      </c>
      <c r="I6">
        <v>903671.53664551198</v>
      </c>
      <c r="J6">
        <v>811095.82859009795</v>
      </c>
      <c r="K6">
        <v>590189.53394671704</v>
      </c>
      <c r="L6">
        <v>805823.524102828</v>
      </c>
      <c r="M6">
        <v>1178510.99154193</v>
      </c>
      <c r="N6">
        <v>1166665.5965778399</v>
      </c>
      <c r="O6">
        <v>1349251.9580933701</v>
      </c>
      <c r="P6">
        <v>1055502.7897308101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2211200003</v>
      </c>
      <c r="B7" t="s">
        <v>42</v>
      </c>
      <c r="C7" t="s">
        <v>88</v>
      </c>
      <c r="E7">
        <v>927479.00660414703</v>
      </c>
      <c r="F7">
        <v>704715.47410218394</v>
      </c>
      <c r="G7">
        <v>891741.66147497704</v>
      </c>
      <c r="H7">
        <v>997120.07745444297</v>
      </c>
      <c r="I7">
        <v>960150.55309049506</v>
      </c>
      <c r="J7">
        <v>920083.11247849604</v>
      </c>
      <c r="K7">
        <v>707533.22756387503</v>
      </c>
      <c r="L7">
        <v>510035.973741455</v>
      </c>
      <c r="M7">
        <v>798532.14245699195</v>
      </c>
      <c r="N7">
        <v>934751.90993476601</v>
      </c>
      <c r="O7">
        <v>940569.68295495701</v>
      </c>
      <c r="P7">
        <v>919269.08173384296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2201201000</v>
      </c>
      <c r="B8" t="s">
        <v>43</v>
      </c>
      <c r="C8" t="s">
        <v>88</v>
      </c>
      <c r="E8">
        <v>11398.766246217199</v>
      </c>
      <c r="F8">
        <v>8839.5312757342399</v>
      </c>
      <c r="G8">
        <v>11413.751431754799</v>
      </c>
      <c r="H8">
        <v>12483.943369729601</v>
      </c>
      <c r="I8">
        <v>11682.298274725899</v>
      </c>
      <c r="J8">
        <v>11405.3867012186</v>
      </c>
      <c r="K8">
        <v>8858.3160090997208</v>
      </c>
      <c r="L8">
        <v>6168.2206145791097</v>
      </c>
      <c r="M8">
        <v>9898.6360629322207</v>
      </c>
      <c r="N8">
        <v>11587.221695429</v>
      </c>
      <c r="O8">
        <v>11659.3390401941</v>
      </c>
      <c r="P8">
        <v>11282.4712315535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2690200007</v>
      </c>
      <c r="B9" t="s">
        <v>29</v>
      </c>
      <c r="C9" t="s">
        <v>90</v>
      </c>
      <c r="D9" t="s">
        <v>25</v>
      </c>
      <c r="E9">
        <v>317875.15393591102</v>
      </c>
      <c r="F9">
        <v>409768.75901953498</v>
      </c>
      <c r="G9">
        <v>568307.73912892095</v>
      </c>
      <c r="H9">
        <v>511261.69768567401</v>
      </c>
      <c r="I9">
        <v>467668.52780748898</v>
      </c>
      <c r="J9">
        <v>381856.68402023398</v>
      </c>
      <c r="K9">
        <v>285451.896518011</v>
      </c>
      <c r="L9">
        <v>344870.89313454001</v>
      </c>
      <c r="M9">
        <v>596806.46392798994</v>
      </c>
      <c r="N9">
        <v>546218.248391186</v>
      </c>
      <c r="O9">
        <v>589848.29245393898</v>
      </c>
      <c r="P9">
        <v>565735.576113755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2690200010</v>
      </c>
      <c r="B10" t="s">
        <v>53</v>
      </c>
      <c r="C10" t="s">
        <v>90</v>
      </c>
      <c r="D10" t="s">
        <v>25</v>
      </c>
      <c r="E10">
        <v>67059.1671867939</v>
      </c>
      <c r="F10">
        <v>87119.241687380898</v>
      </c>
      <c r="G10">
        <v>123829.24404732299</v>
      </c>
      <c r="H10">
        <v>118127.484623818</v>
      </c>
      <c r="I10">
        <v>111368.195208679</v>
      </c>
      <c r="J10">
        <v>89145.294525000005</v>
      </c>
      <c r="K10">
        <v>65228.702607886698</v>
      </c>
      <c r="L10">
        <v>72627.0591959741</v>
      </c>
      <c r="M10">
        <v>113058.288</v>
      </c>
      <c r="N10">
        <v>120163.845839531</v>
      </c>
      <c r="O10">
        <v>120876.87312739799</v>
      </c>
      <c r="P10">
        <v>106978.35630501001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2532300000</v>
      </c>
      <c r="B11" t="s">
        <v>26</v>
      </c>
      <c r="C11" t="s">
        <v>90</v>
      </c>
      <c r="D11" t="s">
        <v>26</v>
      </c>
      <c r="E11">
        <v>1470207.5748717899</v>
      </c>
      <c r="F11">
        <v>1932725.4307341301</v>
      </c>
      <c r="G11">
        <v>2446516.2337589501</v>
      </c>
      <c r="H11">
        <v>2307060.6568676499</v>
      </c>
      <c r="I11">
        <v>2092614.7626787601</v>
      </c>
      <c r="J11">
        <v>1618297.10310702</v>
      </c>
      <c r="K11">
        <v>1227654.36234871</v>
      </c>
      <c r="L11">
        <v>1435278.96860793</v>
      </c>
      <c r="M11">
        <v>2829668.0311388802</v>
      </c>
      <c r="N11">
        <v>2625300.94094127</v>
      </c>
      <c r="O11">
        <v>2833429.9650960402</v>
      </c>
      <c r="P11">
        <v>2614443.6068102401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2530200000</v>
      </c>
      <c r="B12" t="s">
        <v>52</v>
      </c>
      <c r="C12" t="s">
        <v>90</v>
      </c>
      <c r="D12" t="s">
        <v>27</v>
      </c>
      <c r="E12">
        <v>2543367.9942725501</v>
      </c>
      <c r="F12">
        <v>3367126.0614075302</v>
      </c>
      <c r="G12">
        <v>4541273.1791658998</v>
      </c>
      <c r="H12">
        <v>4159371.2398202601</v>
      </c>
      <c r="I12">
        <v>3748647.25427143</v>
      </c>
      <c r="J12">
        <v>2917515.7526559499</v>
      </c>
      <c r="K12">
        <v>2140880.4458391899</v>
      </c>
      <c r="L12">
        <v>2608054.5929596401</v>
      </c>
      <c r="M12">
        <v>4996800.53373829</v>
      </c>
      <c r="N12">
        <v>4648491.5434395801</v>
      </c>
      <c r="O12">
        <v>4971882.11491</v>
      </c>
      <c r="P12">
        <v>4596069.27116217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2530300000</v>
      </c>
      <c r="B13" t="s">
        <v>54</v>
      </c>
      <c r="C13" t="s">
        <v>90</v>
      </c>
      <c r="D13" t="s">
        <v>27</v>
      </c>
      <c r="E13">
        <v>154319.04551857401</v>
      </c>
      <c r="F13">
        <v>138813.11712648001</v>
      </c>
      <c r="G13">
        <v>181299.37930454299</v>
      </c>
      <c r="H13">
        <v>177292.37985036799</v>
      </c>
      <c r="I13">
        <v>165542.042244874</v>
      </c>
      <c r="J13">
        <v>180245.457210775</v>
      </c>
      <c r="K13">
        <v>147634.988281767</v>
      </c>
      <c r="L13">
        <v>106385.891619228</v>
      </c>
      <c r="M13">
        <v>134150.11548119999</v>
      </c>
      <c r="N13">
        <v>155344.32453843</v>
      </c>
      <c r="O13">
        <v>184420.57522695701</v>
      </c>
      <c r="P13">
        <v>175151.39560348599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2400210100</v>
      </c>
      <c r="B14" t="s">
        <v>48</v>
      </c>
      <c r="C14" t="s">
        <v>91</v>
      </c>
      <c r="D14" t="s">
        <v>18</v>
      </c>
      <c r="E14">
        <v>1523819.5431297999</v>
      </c>
      <c r="F14">
        <v>1531111.15752745</v>
      </c>
      <c r="G14">
        <v>1521637.4677494401</v>
      </c>
      <c r="H14">
        <v>1512990.64294206</v>
      </c>
      <c r="I14">
        <v>1508750.0401583901</v>
      </c>
      <c r="J14">
        <v>1508440.16846768</v>
      </c>
      <c r="K14">
        <v>1507887.83832446</v>
      </c>
      <c r="L14">
        <v>1511575.28852341</v>
      </c>
      <c r="M14">
        <v>1540696.4491838899</v>
      </c>
      <c r="N14">
        <v>1547838.7569218599</v>
      </c>
      <c r="O14">
        <v>1548569.43552806</v>
      </c>
      <c r="P14">
        <v>1550788.67548799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2400210200</v>
      </c>
      <c r="B15" t="s">
        <v>30</v>
      </c>
      <c r="C15" t="s">
        <v>91</v>
      </c>
      <c r="D15" t="s">
        <v>18</v>
      </c>
      <c r="E15">
        <v>407.01102750000001</v>
      </c>
      <c r="F15">
        <v>429.9827298921</v>
      </c>
      <c r="G15">
        <v>15309.256958587501</v>
      </c>
      <c r="H15">
        <v>582.63859500000001</v>
      </c>
      <c r="I15">
        <v>637.25738999999999</v>
      </c>
      <c r="J15">
        <v>9051.0419999999995</v>
      </c>
      <c r="K15">
        <v>379.34589</v>
      </c>
      <c r="L15">
        <v>890.07291450000002</v>
      </c>
      <c r="M15">
        <v>26666.753189999999</v>
      </c>
      <c r="N15">
        <v>527.99438999999995</v>
      </c>
      <c r="O15">
        <v>441.87990000000002</v>
      </c>
      <c r="P15">
        <v>89019.466333874996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2400210120</v>
      </c>
      <c r="B16" t="s">
        <v>31</v>
      </c>
      <c r="C16" t="s">
        <v>91</v>
      </c>
      <c r="D16" t="s">
        <v>18</v>
      </c>
      <c r="E16">
        <v>30909.524543259598</v>
      </c>
      <c r="F16">
        <v>31057.429415066901</v>
      </c>
      <c r="G16">
        <v>30865.262797944299</v>
      </c>
      <c r="H16">
        <v>30689.8685100775</v>
      </c>
      <c r="I16">
        <v>30603.851096525301</v>
      </c>
      <c r="J16">
        <v>30597.565584128199</v>
      </c>
      <c r="K16">
        <v>30586.361985779102</v>
      </c>
      <c r="L16">
        <v>30661.159118379401</v>
      </c>
      <c r="M16">
        <v>31251.859791711398</v>
      </c>
      <c r="N16">
        <v>31396.7360910854</v>
      </c>
      <c r="O16">
        <v>31411.557352837401</v>
      </c>
      <c r="P16">
        <v>31456.572953482701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2546100100</v>
      </c>
      <c r="B17" t="s">
        <v>32</v>
      </c>
      <c r="C17" t="s">
        <v>91</v>
      </c>
      <c r="D17" t="s">
        <v>17</v>
      </c>
      <c r="E17">
        <v>358802.71282625</v>
      </c>
      <c r="F17">
        <v>376107.33455077797</v>
      </c>
      <c r="G17">
        <v>445681.77704020799</v>
      </c>
      <c r="H17">
        <v>475436.64132128202</v>
      </c>
      <c r="I17">
        <v>384962.224185</v>
      </c>
      <c r="J17">
        <v>366630.68969999999</v>
      </c>
      <c r="K17">
        <v>268498.33129350003</v>
      </c>
      <c r="L17">
        <v>227638.34806683401</v>
      </c>
      <c r="M17">
        <v>413490.11320278002</v>
      </c>
      <c r="N17">
        <v>381830.94645313802</v>
      </c>
      <c r="O17">
        <v>394643.55968815699</v>
      </c>
      <c r="P17">
        <v>372706.14279112499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2544601400</v>
      </c>
      <c r="B18" t="s">
        <v>33</v>
      </c>
      <c r="C18" t="s">
        <v>91</v>
      </c>
      <c r="D18" t="s">
        <v>17</v>
      </c>
      <c r="E18">
        <v>109605.296431125</v>
      </c>
      <c r="F18">
        <v>118609.1047765</v>
      </c>
      <c r="G18">
        <v>123117.266958956</v>
      </c>
      <c r="H18">
        <v>116028.828833616</v>
      </c>
      <c r="I18">
        <v>97509.604500000001</v>
      </c>
      <c r="J18">
        <v>92866.29</v>
      </c>
      <c r="K18">
        <v>84998.736900000004</v>
      </c>
      <c r="L18">
        <v>96952.952550162503</v>
      </c>
      <c r="M18">
        <v>156020.26752300499</v>
      </c>
      <c r="N18">
        <v>168444.87350459999</v>
      </c>
      <c r="O18">
        <v>176087.596137602</v>
      </c>
      <c r="P18">
        <v>142666.1760865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2544600140</v>
      </c>
      <c r="B19" t="s">
        <v>34</v>
      </c>
      <c r="C19" t="s">
        <v>91</v>
      </c>
      <c r="D19" t="s">
        <v>17</v>
      </c>
      <c r="E19">
        <v>77705.212594625002</v>
      </c>
      <c r="F19">
        <v>102457.957505488</v>
      </c>
      <c r="G19">
        <v>122105.30944693901</v>
      </c>
      <c r="H19">
        <v>131622.64395240601</v>
      </c>
      <c r="I19">
        <v>165518.77072500001</v>
      </c>
      <c r="J19">
        <v>157636.92449999999</v>
      </c>
      <c r="K19">
        <v>149852.46899699999</v>
      </c>
      <c r="L19">
        <v>136552.84107616299</v>
      </c>
      <c r="M19">
        <v>133810.2579</v>
      </c>
      <c r="N19">
        <v>374669.91324551299</v>
      </c>
      <c r="O19">
        <v>263362.75371374498</v>
      </c>
      <c r="P19">
        <v>108238.571646975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2544600120</v>
      </c>
      <c r="B20" t="s">
        <v>35</v>
      </c>
      <c r="C20" t="s">
        <v>91</v>
      </c>
      <c r="D20" t="s">
        <v>17</v>
      </c>
      <c r="E20">
        <v>5524.3312451250004</v>
      </c>
      <c r="F20">
        <v>9752.1445438394603</v>
      </c>
      <c r="G20">
        <v>15468.5334235805</v>
      </c>
      <c r="H20">
        <v>12906.1350466856</v>
      </c>
      <c r="I20">
        <v>11954.921</v>
      </c>
      <c r="J20">
        <v>7698.02</v>
      </c>
      <c r="K20">
        <v>6521.4226247500001</v>
      </c>
      <c r="L20">
        <v>3642.6022710000002</v>
      </c>
      <c r="M20">
        <v>16643.804933507599</v>
      </c>
      <c r="N20">
        <v>21757.433195987502</v>
      </c>
      <c r="O20">
        <v>19240.915793935499</v>
      </c>
      <c r="P20">
        <v>10923.12662375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2544600170</v>
      </c>
      <c r="B21" t="s">
        <v>36</v>
      </c>
      <c r="C21" t="s">
        <v>91</v>
      </c>
      <c r="D21" t="s">
        <v>17</v>
      </c>
      <c r="E21">
        <v>3866.8847249999999</v>
      </c>
      <c r="F21">
        <v>4994.0684132233</v>
      </c>
      <c r="G21">
        <v>6241.18</v>
      </c>
      <c r="H21">
        <v>10642.356769379199</v>
      </c>
      <c r="I21">
        <v>11738.239645</v>
      </c>
      <c r="J21">
        <v>10026.894899999999</v>
      </c>
      <c r="K21">
        <v>4764.0300592499998</v>
      </c>
      <c r="L21">
        <v>2764.8399657724999</v>
      </c>
      <c r="M21">
        <v>25028.068353701899</v>
      </c>
      <c r="N21">
        <v>27633.961081649999</v>
      </c>
      <c r="O21">
        <v>16961.5016455552</v>
      </c>
      <c r="P21">
        <v>10536.4908845625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2561400000</v>
      </c>
      <c r="B22" t="s">
        <v>19</v>
      </c>
      <c r="C22" t="s">
        <v>91</v>
      </c>
      <c r="D22" t="s">
        <v>19</v>
      </c>
      <c r="E22">
        <v>97865.595786749996</v>
      </c>
      <c r="F22">
        <v>97865.595786749996</v>
      </c>
      <c r="G22">
        <v>97605.446573249996</v>
      </c>
      <c r="H22">
        <v>97605.446573249996</v>
      </c>
      <c r="I22">
        <v>97605.446573249996</v>
      </c>
      <c r="J22">
        <v>97610.712100000004</v>
      </c>
      <c r="K22">
        <v>97793.228499999997</v>
      </c>
      <c r="L22">
        <v>97961.043399999995</v>
      </c>
      <c r="M22">
        <v>97755.343399999998</v>
      </c>
      <c r="N22">
        <v>97755.343399999998</v>
      </c>
      <c r="O22">
        <v>97755.343399999998</v>
      </c>
      <c r="P22">
        <v>97755.343399999998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2627300000</v>
      </c>
      <c r="B23" t="s">
        <v>49</v>
      </c>
      <c r="C23" t="s">
        <v>91</v>
      </c>
      <c r="D23" t="s">
        <v>22</v>
      </c>
      <c r="E23">
        <v>11832.96627975</v>
      </c>
      <c r="F23">
        <v>10668.46724075</v>
      </c>
      <c r="G23">
        <v>18729.5658</v>
      </c>
      <c r="H23">
        <v>13879.425999999999</v>
      </c>
      <c r="I23">
        <v>6075.5309999999999</v>
      </c>
      <c r="J23">
        <v>16220.1589</v>
      </c>
      <c r="K23">
        <v>11514.541499999999</v>
      </c>
      <c r="L23">
        <v>11156.683999999999</v>
      </c>
      <c r="M23">
        <v>13266.5368</v>
      </c>
      <c r="N23">
        <v>6528.4340000000002</v>
      </c>
      <c r="O23">
        <v>12028.489</v>
      </c>
      <c r="P23">
        <v>31238.46724075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2627100000</v>
      </c>
      <c r="B24" t="s">
        <v>47</v>
      </c>
      <c r="C24" t="s">
        <v>91</v>
      </c>
      <c r="D24" t="s">
        <v>22</v>
      </c>
      <c r="E24">
        <v>5825.3423401250002</v>
      </c>
      <c r="F24">
        <v>1805.8392563750001</v>
      </c>
      <c r="G24">
        <v>9079.84</v>
      </c>
      <c r="H24">
        <v>10433.467000000001</v>
      </c>
      <c r="I24">
        <v>10286.197899999999</v>
      </c>
      <c r="J24">
        <v>3214.2197999999999</v>
      </c>
      <c r="K24">
        <v>4135.1871000000001</v>
      </c>
      <c r="L24">
        <v>2146.4432000000002</v>
      </c>
      <c r="M24">
        <v>2135.0812999999998</v>
      </c>
      <c r="N24">
        <v>11247.1194</v>
      </c>
      <c r="O24">
        <v>1803.5413000000001</v>
      </c>
      <c r="P24">
        <v>2119.2665999999999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2601100200</v>
      </c>
      <c r="B25" t="s">
        <v>21</v>
      </c>
      <c r="C25" t="s">
        <v>91</v>
      </c>
      <c r="D25" t="s">
        <v>21</v>
      </c>
      <c r="E25">
        <v>12827.642847249999</v>
      </c>
      <c r="F25">
        <v>8990.7802792500006</v>
      </c>
      <c r="G25">
        <v>0</v>
      </c>
      <c r="H25">
        <v>3847.8</v>
      </c>
      <c r="I25">
        <v>7295.2231000000002</v>
      </c>
      <c r="J25">
        <v>7630.3810000000003</v>
      </c>
      <c r="K25">
        <v>10130.7976</v>
      </c>
      <c r="L25">
        <v>1985.7673</v>
      </c>
      <c r="M25">
        <v>0</v>
      </c>
      <c r="N25">
        <v>10368.1633</v>
      </c>
      <c r="O25">
        <v>5253.4327999999996</v>
      </c>
      <c r="P25">
        <v>6869.5330000000004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2633100000</v>
      </c>
      <c r="B26" t="s">
        <v>44</v>
      </c>
      <c r="C26" t="s">
        <v>91</v>
      </c>
      <c r="D26" t="s">
        <v>20</v>
      </c>
      <c r="E26">
        <v>71770.089737500006</v>
      </c>
      <c r="F26">
        <v>13956.64980325</v>
      </c>
      <c r="G26">
        <v>0</v>
      </c>
      <c r="H26">
        <v>0</v>
      </c>
      <c r="I26">
        <v>0</v>
      </c>
      <c r="J26">
        <v>33073.329299999998</v>
      </c>
      <c r="K26">
        <v>8268.3292999999994</v>
      </c>
      <c r="L26">
        <v>8268.3292999999994</v>
      </c>
      <c r="M26">
        <v>8268.3292999999994</v>
      </c>
      <c r="N26">
        <v>8268.3292999999994</v>
      </c>
      <c r="O26">
        <v>8268.3292999999994</v>
      </c>
      <c r="P26">
        <v>8268.3292999999994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2633600000</v>
      </c>
      <c r="B27" t="s">
        <v>45</v>
      </c>
      <c r="C27" t="s">
        <v>91</v>
      </c>
      <c r="D27" t="s">
        <v>20</v>
      </c>
      <c r="E27">
        <v>26991.973556624998</v>
      </c>
      <c r="F27">
        <v>28304.255113750001</v>
      </c>
      <c r="G27">
        <v>27343.58</v>
      </c>
      <c r="H27">
        <v>24900.348000000002</v>
      </c>
      <c r="I27">
        <v>26122.569</v>
      </c>
      <c r="J27">
        <v>27268.2212</v>
      </c>
      <c r="K27">
        <v>31253.6708</v>
      </c>
      <c r="L27">
        <v>29210.1986</v>
      </c>
      <c r="M27">
        <v>26770.2094</v>
      </c>
      <c r="N27">
        <v>28728.9211</v>
      </c>
      <c r="O27">
        <v>30726.582699999999</v>
      </c>
      <c r="P27">
        <v>30158.354599999999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2616100000</v>
      </c>
      <c r="B28" t="s">
        <v>46</v>
      </c>
      <c r="C28" t="s">
        <v>91</v>
      </c>
      <c r="D28" t="s">
        <v>20</v>
      </c>
      <c r="E28">
        <v>0</v>
      </c>
      <c r="F28">
        <v>0</v>
      </c>
      <c r="G28">
        <v>36964.048000000003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>
        <v>2003100005</v>
      </c>
      <c r="B29" t="s">
        <v>37</v>
      </c>
      <c r="C29" t="s">
        <v>87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15587141.759999998</v>
      </c>
      <c r="R29">
        <v>21550395.090000004</v>
      </c>
      <c r="S29">
        <v>25921509.449999996</v>
      </c>
      <c r="T29">
        <v>19150184.419999998</v>
      </c>
      <c r="U29">
        <v>20358143.84</v>
      </c>
      <c r="V29">
        <v>18521907.539999999</v>
      </c>
    </row>
    <row r="30" spans="1:22" x14ac:dyDescent="0.3">
      <c r="A30">
        <v>2003100006</v>
      </c>
      <c r="B30" t="s">
        <v>38</v>
      </c>
      <c r="C30" t="s">
        <v>87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1162130.4500000002</v>
      </c>
      <c r="R30">
        <v>1375683.25</v>
      </c>
      <c r="S30">
        <v>1741665.93</v>
      </c>
      <c r="T30">
        <v>1276638.8700000001</v>
      </c>
      <c r="U30">
        <v>1297552.5299999998</v>
      </c>
      <c r="V30">
        <v>1173863.2000000002</v>
      </c>
    </row>
    <row r="31" spans="1:22" x14ac:dyDescent="0.3">
      <c r="A31">
        <v>2003100007</v>
      </c>
      <c r="B31" t="s">
        <v>39</v>
      </c>
      <c r="C31" t="s">
        <v>87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1520904.79</v>
      </c>
      <c r="R31">
        <v>1165766.1599999999</v>
      </c>
      <c r="S31">
        <v>1397252.56</v>
      </c>
      <c r="T31">
        <v>1562865.42</v>
      </c>
      <c r="U31">
        <v>1748359.82</v>
      </c>
      <c r="V31">
        <v>1444158.71</v>
      </c>
    </row>
    <row r="32" spans="1:22" x14ac:dyDescent="0.3">
      <c r="A32">
        <v>2211200001</v>
      </c>
      <c r="B32" t="s">
        <v>40</v>
      </c>
      <c r="C32" t="s">
        <v>88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9511517.2004292104</v>
      </c>
      <c r="R32">
        <v>13135651.094679</v>
      </c>
      <c r="S32">
        <v>15677777.3821669</v>
      </c>
      <c r="T32">
        <v>11529761.1035049</v>
      </c>
      <c r="U32">
        <v>12207980.403199</v>
      </c>
      <c r="V32">
        <v>11216653.5129917</v>
      </c>
    </row>
    <row r="33" spans="1:22" x14ac:dyDescent="0.3">
      <c r="A33">
        <v>2211200002</v>
      </c>
      <c r="B33" t="s">
        <v>41</v>
      </c>
      <c r="C33" t="s">
        <v>88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729894.78932666394</v>
      </c>
      <c r="R33">
        <v>860147.62850186101</v>
      </c>
      <c r="S33">
        <v>1085322.40783762</v>
      </c>
      <c r="T33">
        <v>790838.16351295903</v>
      </c>
      <c r="U33">
        <v>806592.59209118702</v>
      </c>
      <c r="V33">
        <v>734792.92918374401</v>
      </c>
    </row>
    <row r="34" spans="1:22" x14ac:dyDescent="0.3">
      <c r="A34">
        <v>2211200003</v>
      </c>
      <c r="B34" t="s">
        <v>42</v>
      </c>
      <c r="C34" t="s">
        <v>88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927464.07947095903</v>
      </c>
      <c r="R34">
        <v>705415.86234208697</v>
      </c>
      <c r="S34">
        <v>844968.03555313603</v>
      </c>
      <c r="T34">
        <v>951185.12176403799</v>
      </c>
      <c r="U34">
        <v>1063118.24671809</v>
      </c>
      <c r="V34">
        <v>883462.24840679998</v>
      </c>
    </row>
    <row r="35" spans="1:22" x14ac:dyDescent="0.3">
      <c r="A35">
        <v>2201201000</v>
      </c>
      <c r="B35" t="s">
        <v>43</v>
      </c>
      <c r="C35" t="s">
        <v>88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11611.850274976399</v>
      </c>
      <c r="R35">
        <v>8922.8193539330496</v>
      </c>
      <c r="S35">
        <v>10794.8977603319</v>
      </c>
      <c r="T35">
        <v>12371.1268462671</v>
      </c>
      <c r="U35">
        <v>13693.7410790924</v>
      </c>
      <c r="V35">
        <v>11170.5731586531</v>
      </c>
    </row>
    <row r="36" spans="1:22" x14ac:dyDescent="0.3">
      <c r="A36">
        <v>2690200007</v>
      </c>
      <c r="B36" t="s">
        <v>29</v>
      </c>
      <c r="C36" t="s">
        <v>90</v>
      </c>
      <c r="D36" t="s">
        <v>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329966.84307302802</v>
      </c>
      <c r="R36">
        <v>444477.28743122099</v>
      </c>
      <c r="S36">
        <v>530386.95979647699</v>
      </c>
      <c r="T36">
        <v>380806.02657311701</v>
      </c>
      <c r="U36">
        <v>409564.14912196499</v>
      </c>
      <c r="V36">
        <v>367756.222488261</v>
      </c>
    </row>
    <row r="37" spans="1:22" x14ac:dyDescent="0.3">
      <c r="A37">
        <v>2690200010</v>
      </c>
      <c r="B37" t="s">
        <v>53</v>
      </c>
      <c r="C37" t="s">
        <v>90</v>
      </c>
      <c r="D37" t="s">
        <v>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74250.497054608102</v>
      </c>
      <c r="R37">
        <v>90525.201571920697</v>
      </c>
      <c r="S37">
        <v>120810.01492454299</v>
      </c>
      <c r="T37">
        <v>111996.598302556</v>
      </c>
      <c r="U37">
        <v>114779.62223885801</v>
      </c>
      <c r="V37">
        <v>104151.265933988</v>
      </c>
    </row>
    <row r="38" spans="1:22" x14ac:dyDescent="0.3">
      <c r="A38">
        <v>2532300000</v>
      </c>
      <c r="B38" t="s">
        <v>26</v>
      </c>
      <c r="C38" t="s">
        <v>90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1830023.9135537201</v>
      </c>
      <c r="R38">
        <v>2405737.6774740801</v>
      </c>
      <c r="S38">
        <v>2768479.82802766</v>
      </c>
      <c r="T38">
        <v>2084666.57778483</v>
      </c>
      <c r="U38">
        <v>2202174.6291354098</v>
      </c>
      <c r="V38">
        <v>1982751.8174181301</v>
      </c>
    </row>
    <row r="39" spans="1:22" x14ac:dyDescent="0.3">
      <c r="A39">
        <v>2530200000</v>
      </c>
      <c r="B39" t="s">
        <v>52</v>
      </c>
      <c r="C39" t="s">
        <v>90</v>
      </c>
      <c r="D39" t="s">
        <v>27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2778072.4982260298</v>
      </c>
      <c r="R39">
        <v>3677847.77127065</v>
      </c>
      <c r="S39">
        <v>4284234.87507213</v>
      </c>
      <c r="T39">
        <v>3178369.0756239402</v>
      </c>
      <c r="U39">
        <v>3385070.5480162799</v>
      </c>
      <c r="V39">
        <v>3050680.7288258802</v>
      </c>
    </row>
    <row r="40" spans="1:22" x14ac:dyDescent="0.3">
      <c r="A40">
        <v>2530300000</v>
      </c>
      <c r="B40" t="s">
        <v>54</v>
      </c>
      <c r="C40" t="s">
        <v>90</v>
      </c>
      <c r="D40" t="s">
        <v>27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156074.88800867199</v>
      </c>
      <c r="R40">
        <v>140392.533124126</v>
      </c>
      <c r="S40">
        <v>180733.35611056001</v>
      </c>
      <c r="T40">
        <v>163355.03418914301</v>
      </c>
      <c r="U40">
        <v>185825.34447021401</v>
      </c>
      <c r="V40">
        <v>148540.53177824599</v>
      </c>
    </row>
    <row r="41" spans="1:22" x14ac:dyDescent="0.3">
      <c r="A41">
        <v>2400210100</v>
      </c>
      <c r="B41" t="s">
        <v>48</v>
      </c>
      <c r="C41" t="s">
        <v>91</v>
      </c>
      <c r="D41" t="s">
        <v>18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1542025.3909785899</v>
      </c>
      <c r="R41">
        <v>1561231.0370585199</v>
      </c>
      <c r="S41">
        <v>1543421.39170613</v>
      </c>
      <c r="T41">
        <v>1559364.2245044301</v>
      </c>
      <c r="U41">
        <v>1549069.95596109</v>
      </c>
      <c r="V41">
        <v>1552312.41086801</v>
      </c>
    </row>
    <row r="42" spans="1:22" x14ac:dyDescent="0.3">
      <c r="A42">
        <v>2400210200</v>
      </c>
      <c r="B42" t="s">
        <v>30</v>
      </c>
      <c r="C42" t="s">
        <v>91</v>
      </c>
      <c r="D42" t="s">
        <v>18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415.55055742033699</v>
      </c>
      <c r="R42">
        <v>434.614188572329</v>
      </c>
      <c r="S42">
        <v>20457.1605350963</v>
      </c>
      <c r="T42">
        <v>769.53963193034701</v>
      </c>
      <c r="U42">
        <v>580.92697704545799</v>
      </c>
      <c r="V42">
        <v>8439.6192744227792</v>
      </c>
    </row>
    <row r="43" spans="1:22" x14ac:dyDescent="0.3">
      <c r="A43">
        <v>2400210120</v>
      </c>
      <c r="B43" t="s">
        <v>31</v>
      </c>
      <c r="C43" t="s">
        <v>91</v>
      </c>
      <c r="D43" t="s">
        <v>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31278.816368823998</v>
      </c>
      <c r="R43">
        <v>31668.3883437689</v>
      </c>
      <c r="S43">
        <v>31307.133185565599</v>
      </c>
      <c r="T43">
        <v>31630.521465949601</v>
      </c>
      <c r="U43">
        <v>31421.710030481499</v>
      </c>
      <c r="V43">
        <v>31487.480770841099</v>
      </c>
    </row>
    <row r="44" spans="1:22" x14ac:dyDescent="0.3">
      <c r="A44">
        <v>2546100100</v>
      </c>
      <c r="B44" t="s">
        <v>32</v>
      </c>
      <c r="C44" t="s">
        <v>91</v>
      </c>
      <c r="D44" t="s">
        <v>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359256.31929000001</v>
      </c>
      <c r="R44">
        <v>369330.92676575598</v>
      </c>
      <c r="S44">
        <v>425180.18966605898</v>
      </c>
      <c r="T44">
        <v>358492.33783221903</v>
      </c>
      <c r="U44">
        <v>303859.33126635099</v>
      </c>
      <c r="V44">
        <v>286833.30015780003</v>
      </c>
    </row>
    <row r="45" spans="1:22" x14ac:dyDescent="0.3">
      <c r="A45">
        <v>2544601400</v>
      </c>
      <c r="B45" t="s">
        <v>33</v>
      </c>
      <c r="C45" t="s">
        <v>91</v>
      </c>
      <c r="D45" t="s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120743.037261</v>
      </c>
      <c r="R45">
        <v>128562.52376125701</v>
      </c>
      <c r="S45">
        <v>132254.701547723</v>
      </c>
      <c r="T45">
        <v>131225.527882522</v>
      </c>
      <c r="U45">
        <v>113819.14772511199</v>
      </c>
      <c r="V45">
        <v>108185.128128</v>
      </c>
    </row>
    <row r="46" spans="1:22" x14ac:dyDescent="0.3">
      <c r="A46">
        <v>2544600140</v>
      </c>
      <c r="B46" t="s">
        <v>34</v>
      </c>
      <c r="C46" t="s">
        <v>91</v>
      </c>
      <c r="D46" t="s">
        <v>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77803.449273000006</v>
      </c>
      <c r="R46">
        <v>90917.016300000003</v>
      </c>
      <c r="S46">
        <v>108164.706998127</v>
      </c>
      <c r="T46">
        <v>142914.880077254</v>
      </c>
      <c r="U46">
        <v>133451.56798714501</v>
      </c>
      <c r="V46">
        <v>144759.4576461</v>
      </c>
    </row>
    <row r="47" spans="1:22" x14ac:dyDescent="0.3">
      <c r="A47">
        <v>2544600120</v>
      </c>
      <c r="B47" t="s">
        <v>35</v>
      </c>
      <c r="C47" t="s">
        <v>91</v>
      </c>
      <c r="D47" t="s">
        <v>17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12718.715228999999</v>
      </c>
      <c r="R47">
        <v>13651.5784597084</v>
      </c>
      <c r="S47">
        <v>16336.8791920125</v>
      </c>
      <c r="T47">
        <v>15475.386891739799</v>
      </c>
      <c r="U47">
        <v>11421.3553828605</v>
      </c>
      <c r="V47">
        <v>12351.66669</v>
      </c>
    </row>
    <row r="48" spans="1:22" x14ac:dyDescent="0.3">
      <c r="A48">
        <v>2544600170</v>
      </c>
      <c r="B48" t="s">
        <v>36</v>
      </c>
      <c r="C48" t="s">
        <v>91</v>
      </c>
      <c r="D48" t="s">
        <v>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2632.9841999999999</v>
      </c>
      <c r="R48">
        <v>2560.9757513725699</v>
      </c>
      <c r="S48">
        <v>2620.5616775250001</v>
      </c>
      <c r="T48">
        <v>3759.3345729041598</v>
      </c>
      <c r="U48">
        <v>3757.097381301</v>
      </c>
      <c r="V48">
        <v>3807.1657799999998</v>
      </c>
    </row>
    <row r="49" spans="1:22" x14ac:dyDescent="0.3">
      <c r="A49">
        <v>2561400000</v>
      </c>
      <c r="B49" t="s">
        <v>19</v>
      </c>
      <c r="C49" t="s">
        <v>91</v>
      </c>
      <c r="D49" t="s">
        <v>19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96777.789965999997</v>
      </c>
      <c r="R49">
        <v>96777.789965999997</v>
      </c>
      <c r="S49">
        <v>96777.789965999997</v>
      </c>
      <c r="T49">
        <v>96777.789965999997</v>
      </c>
      <c r="U49">
        <v>96777.789965999997</v>
      </c>
      <c r="V49">
        <v>96777.789965999997</v>
      </c>
    </row>
    <row r="50" spans="1:22" x14ac:dyDescent="0.3">
      <c r="A50">
        <v>2627300000</v>
      </c>
      <c r="B50" t="s">
        <v>49</v>
      </c>
      <c r="C50" t="s">
        <v>91</v>
      </c>
      <c r="D50" t="s">
        <v>22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11847.925782</v>
      </c>
      <c r="R50">
        <v>8517.8596140000009</v>
      </c>
      <c r="S50">
        <v>2207.6099100000001</v>
      </c>
      <c r="T50">
        <v>7067.7178110000004</v>
      </c>
      <c r="U50">
        <v>12834.947466</v>
      </c>
      <c r="V50">
        <v>22129.992621000001</v>
      </c>
    </row>
    <row r="51" spans="1:22" x14ac:dyDescent="0.3">
      <c r="A51">
        <v>2627100000</v>
      </c>
      <c r="B51" t="s">
        <v>47</v>
      </c>
      <c r="C51" t="s">
        <v>91</v>
      </c>
      <c r="D51" t="s">
        <v>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5832.7068689999996</v>
      </c>
      <c r="R51">
        <v>1808.122239</v>
      </c>
      <c r="S51">
        <v>7327.0032659999997</v>
      </c>
      <c r="T51">
        <v>7621.554897</v>
      </c>
      <c r="U51">
        <v>2082.0939480000002</v>
      </c>
      <c r="V51">
        <v>2059.214058</v>
      </c>
    </row>
    <row r="52" spans="1:22" x14ac:dyDescent="0.3">
      <c r="A52">
        <v>2601100200</v>
      </c>
      <c r="B52" t="s">
        <v>21</v>
      </c>
      <c r="C52" t="s">
        <v>91</v>
      </c>
      <c r="D52" t="s">
        <v>21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12843.859842</v>
      </c>
      <c r="R52">
        <v>9002.1466259999997</v>
      </c>
      <c r="S52">
        <v>674.07030899999995</v>
      </c>
      <c r="T52">
        <v>782.94744000000003</v>
      </c>
      <c r="U52">
        <v>1103.4935009999999</v>
      </c>
      <c r="V52">
        <v>4852.5611310000004</v>
      </c>
    </row>
    <row r="53" spans="1:22" x14ac:dyDescent="0.3">
      <c r="A53">
        <v>2633100000</v>
      </c>
      <c r="B53" t="s">
        <v>44</v>
      </c>
      <c r="C53" t="s">
        <v>91</v>
      </c>
      <c r="D53" t="s">
        <v>20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71860.823099999994</v>
      </c>
      <c r="R53">
        <v>13974.294114</v>
      </c>
      <c r="S53">
        <v>9383.5460070000008</v>
      </c>
      <c r="T53">
        <v>10880.322056999999</v>
      </c>
      <c r="U53">
        <v>10131.934031999999</v>
      </c>
      <c r="V53">
        <v>10131.934031999999</v>
      </c>
    </row>
    <row r="54" spans="1:22" x14ac:dyDescent="0.3">
      <c r="A54">
        <v>2633600000</v>
      </c>
      <c r="B54" t="s">
        <v>45</v>
      </c>
      <c r="C54" t="s">
        <v>91</v>
      </c>
      <c r="D54" t="s">
        <v>20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27026.097417000001</v>
      </c>
      <c r="R54">
        <v>28340.037990000001</v>
      </c>
      <c r="S54">
        <v>28256.017284000001</v>
      </c>
      <c r="T54">
        <v>25741.912680000001</v>
      </c>
      <c r="U54">
        <v>24393.041343000001</v>
      </c>
      <c r="V54">
        <v>25141.213746000001</v>
      </c>
    </row>
    <row r="55" spans="1:22" x14ac:dyDescent="0.3">
      <c r="A55">
        <v>2616100000</v>
      </c>
      <c r="B55" t="s">
        <v>46</v>
      </c>
      <c r="C55" t="s">
        <v>91</v>
      </c>
      <c r="D55" t="s">
        <v>20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38153.678012999997</v>
      </c>
      <c r="T55">
        <v>0</v>
      </c>
      <c r="U55">
        <v>0</v>
      </c>
      <c r="V55">
        <v>0</v>
      </c>
    </row>
    <row r="56" spans="1:22" x14ac:dyDescent="0.3">
      <c r="C56" t="s">
        <v>89</v>
      </c>
      <c r="E56">
        <v>6903611.9428175651</v>
      </c>
      <c r="F56">
        <v>9144707.0058350284</v>
      </c>
      <c r="G56">
        <v>12441609.04124926</v>
      </c>
      <c r="H56">
        <v>11724255.672026537</v>
      </c>
      <c r="I56">
        <v>10545181.478455368</v>
      </c>
      <c r="J56">
        <v>8394281.6238351874</v>
      </c>
      <c r="K56">
        <v>6282143.3143321201</v>
      </c>
      <c r="L56">
        <v>7568586.8002002407</v>
      </c>
      <c r="M56">
        <v>13160575.533905849</v>
      </c>
      <c r="N56">
        <v>12088774.992703758</v>
      </c>
      <c r="O56">
        <v>13055204.842663277</v>
      </c>
      <c r="P56">
        <v>12207005.726379693</v>
      </c>
      <c r="Q56">
        <v>7089689.0804981869</v>
      </c>
      <c r="R56">
        <v>9381707.0951231234</v>
      </c>
      <c r="S56">
        <v>11441565.216682006</v>
      </c>
      <c r="T56">
        <v>8705533.1943718381</v>
      </c>
      <c r="U56">
        <v>9312671.2069126312</v>
      </c>
      <c r="V56">
        <v>8293850.1862591021</v>
      </c>
    </row>
    <row r="57" spans="1:22" x14ac:dyDescent="0.3">
      <c r="C57" t="s">
        <v>93</v>
      </c>
      <c r="E57">
        <v>2350783.0070319464</v>
      </c>
      <c r="F57">
        <v>3209154.3958599726</v>
      </c>
      <c r="G57">
        <v>4580383.2658436233</v>
      </c>
      <c r="H57">
        <v>4451142.2131787678</v>
      </c>
      <c r="I57">
        <v>3959340.6962441364</v>
      </c>
      <c r="J57">
        <v>3207221.3323162086</v>
      </c>
      <c r="K57">
        <v>2415292.9187365556</v>
      </c>
      <c r="L57">
        <v>3001369.3946829289</v>
      </c>
      <c r="M57">
        <v>4490092.1016194895</v>
      </c>
      <c r="N57">
        <v>3993256.0895537604</v>
      </c>
      <c r="O57">
        <v>4354747.0218489431</v>
      </c>
      <c r="P57">
        <v>4148627.5203850316</v>
      </c>
      <c r="Q57">
        <v>1921300.4405821292</v>
      </c>
      <c r="R57">
        <v>2622726.6242511263</v>
      </c>
      <c r="S57">
        <v>3556920.1827506358</v>
      </c>
      <c r="T57">
        <v>2786339.8818982514</v>
      </c>
      <c r="U57">
        <v>3015256.9139299039</v>
      </c>
      <c r="V57">
        <v>2639969.6198145971</v>
      </c>
    </row>
    <row r="58" spans="1:22" x14ac:dyDescent="0.3">
      <c r="C58" t="s">
        <v>92</v>
      </c>
      <c r="E58">
        <v>13028.879961262457</v>
      </c>
      <c r="F58">
        <v>873043.62891760981</v>
      </c>
      <c r="G58">
        <v>2110234.731094718</v>
      </c>
      <c r="H58">
        <v>2009575.9696350116</v>
      </c>
      <c r="I58">
        <v>1600280.819970971</v>
      </c>
      <c r="J58">
        <v>839256.71486439975</v>
      </c>
      <c r="K58">
        <v>198708.62786181644</v>
      </c>
      <c r="L58">
        <v>839962.82439670758</v>
      </c>
      <c r="M58">
        <v>1998289.0273408936</v>
      </c>
      <c r="N58">
        <v>1276259.1641699262</v>
      </c>
      <c r="O58">
        <v>1748192.1035890505</v>
      </c>
      <c r="P58">
        <v>1655883.0034360215</v>
      </c>
      <c r="Q58">
        <v>-451763.02555170562</v>
      </c>
      <c r="R58">
        <v>265949.31307317084</v>
      </c>
      <c r="S58">
        <v>1094397.7434873977</v>
      </c>
      <c r="T58">
        <v>393835.88418830233</v>
      </c>
      <c r="U58">
        <v>720552.52096251724</v>
      </c>
      <c r="V58">
        <v>330700.68494542316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D5ED-24C4-459E-89CC-3E5A4CA312F0}">
  <sheetPr>
    <tabColor theme="1"/>
  </sheetPr>
  <dimension ref="A1:O47"/>
  <sheetViews>
    <sheetView workbookViewId="0">
      <selection activeCell="J22" sqref="J22:J32"/>
    </sheetView>
  </sheetViews>
  <sheetFormatPr defaultRowHeight="14.4" x14ac:dyDescent="0.3"/>
  <cols>
    <col min="4" max="15" width="9.5546875" customWidth="1"/>
  </cols>
  <sheetData>
    <row r="1" spans="1:15" x14ac:dyDescent="0.3">
      <c r="A1" t="s">
        <v>85</v>
      </c>
      <c r="B1" t="s">
        <v>86</v>
      </c>
      <c r="C1" s="20" t="s">
        <v>28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</row>
    <row r="2" spans="1:15" x14ac:dyDescent="0.3">
      <c r="A2" t="s">
        <v>87</v>
      </c>
      <c r="C2" s="21" t="s">
        <v>37</v>
      </c>
      <c r="D2">
        <v>18928135.072498478</v>
      </c>
      <c r="E2">
        <v>24920142.093276463</v>
      </c>
      <c r="F2">
        <v>33841465.42255</v>
      </c>
      <c r="G2">
        <v>31628224.583339993</v>
      </c>
      <c r="H2">
        <v>28396608.206160001</v>
      </c>
      <c r="I2">
        <v>22853546.025970001</v>
      </c>
      <c r="J2">
        <v>16910000.054470003</v>
      </c>
      <c r="K2">
        <v>20320262.58306</v>
      </c>
      <c r="L2">
        <v>37167698.933705002</v>
      </c>
      <c r="M2">
        <v>34279013.753494993</v>
      </c>
      <c r="N2">
        <v>37110361.590127759</v>
      </c>
      <c r="O2">
        <v>34586886.816891879</v>
      </c>
    </row>
    <row r="3" spans="1:15" x14ac:dyDescent="0.3">
      <c r="A3" t="s">
        <v>88</v>
      </c>
      <c r="C3" s="22" t="s">
        <v>40</v>
      </c>
      <c r="D3">
        <v>11379260.8894787</v>
      </c>
      <c r="E3">
        <v>14940672.2705267</v>
      </c>
      <c r="F3">
        <v>20325399.297635801</v>
      </c>
      <c r="G3">
        <v>18975128.868847899</v>
      </c>
      <c r="H3">
        <v>17054295.8429645</v>
      </c>
      <c r="I3">
        <v>13728918.022774501</v>
      </c>
      <c r="J3">
        <v>10145183.3624616</v>
      </c>
      <c r="K3">
        <v>12170512.164061399</v>
      </c>
      <c r="L3">
        <v>22281428.4846063</v>
      </c>
      <c r="M3">
        <v>20527854.643010002</v>
      </c>
      <c r="N3">
        <v>22204997.803047799</v>
      </c>
      <c r="O3">
        <v>20700360.9398087</v>
      </c>
    </row>
    <row r="4" spans="1:15" x14ac:dyDescent="0.3">
      <c r="A4" t="s">
        <v>89</v>
      </c>
      <c r="C4" s="20"/>
      <c r="D4">
        <v>7548874.1830197778</v>
      </c>
      <c r="E4">
        <v>9979469.8227497637</v>
      </c>
      <c r="F4">
        <v>13516066.124914199</v>
      </c>
      <c r="G4">
        <v>12653095.714492094</v>
      </c>
      <c r="H4">
        <v>11342312.363195501</v>
      </c>
      <c r="I4">
        <v>9124628.0031955</v>
      </c>
      <c r="J4">
        <v>6764816.6920084022</v>
      </c>
      <c r="K4">
        <v>8149750.4189986009</v>
      </c>
      <c r="L4">
        <v>14886270.449098703</v>
      </c>
      <c r="M4">
        <v>13751159.110484991</v>
      </c>
      <c r="N4">
        <v>14905363.78707996</v>
      </c>
      <c r="O4">
        <v>13886525.877083179</v>
      </c>
    </row>
    <row r="5" spans="1:15" x14ac:dyDescent="0.3">
      <c r="A5" t="s">
        <v>90</v>
      </c>
      <c r="B5" t="s">
        <v>25</v>
      </c>
      <c r="C5" s="22" t="s">
        <v>29</v>
      </c>
      <c r="D5">
        <v>425933.52437138202</v>
      </c>
      <c r="E5">
        <v>560769.66425746295</v>
      </c>
      <c r="F5">
        <v>761523.23417545902</v>
      </c>
      <c r="G5">
        <v>711719.41212343494</v>
      </c>
      <c r="H5">
        <v>638999.424249487</v>
      </c>
      <c r="I5">
        <v>514265.74070512003</v>
      </c>
      <c r="J5">
        <v>380520.103683408</v>
      </c>
      <c r="K5">
        <v>457260.106450213</v>
      </c>
      <c r="L5">
        <v>836372.35992725706</v>
      </c>
      <c r="M5">
        <v>771369.23865336506</v>
      </c>
      <c r="N5">
        <v>835082.11676624801</v>
      </c>
      <c r="O5">
        <v>778297.20374075405</v>
      </c>
    </row>
    <row r="6" spans="1:15" x14ac:dyDescent="0.3">
      <c r="A6" t="s">
        <v>90</v>
      </c>
      <c r="B6" t="s">
        <v>26</v>
      </c>
      <c r="C6" s="22" t="s">
        <v>26</v>
      </c>
      <c r="D6">
        <v>1666186.2385877799</v>
      </c>
      <c r="E6">
        <v>2162748.01641997</v>
      </c>
      <c r="F6">
        <v>2853089.8029714199</v>
      </c>
      <c r="G6">
        <v>2627283.7802903699</v>
      </c>
      <c r="H6">
        <v>2288427.6901496798</v>
      </c>
      <c r="I6">
        <v>1841723.0383379001</v>
      </c>
      <c r="J6">
        <v>1320813.58303332</v>
      </c>
      <c r="K6">
        <v>1612377.23486577</v>
      </c>
      <c r="L6">
        <v>3179597.4013763499</v>
      </c>
      <c r="M6">
        <v>3017477.4625007599</v>
      </c>
      <c r="N6">
        <v>3312722.44667602</v>
      </c>
      <c r="O6">
        <v>2958815.81587394</v>
      </c>
    </row>
    <row r="7" spans="1:15" x14ac:dyDescent="0.3">
      <c r="A7" t="s">
        <v>90</v>
      </c>
      <c r="B7" t="s">
        <v>27</v>
      </c>
      <c r="C7" s="21" t="s">
        <v>52</v>
      </c>
      <c r="D7">
        <v>2929859.42979164</v>
      </c>
      <c r="E7">
        <v>3825209.1616816702</v>
      </c>
      <c r="F7">
        <v>5107316.0562991304</v>
      </c>
      <c r="G7">
        <v>4732498.8242035098</v>
      </c>
      <c r="H7">
        <v>4248955.3782227701</v>
      </c>
      <c r="I7">
        <v>3331115.9591815802</v>
      </c>
      <c r="J7">
        <v>2399352.2174073802</v>
      </c>
      <c r="K7">
        <v>2857021.6092472398</v>
      </c>
      <c r="L7">
        <v>5753135.8893773099</v>
      </c>
      <c r="M7">
        <v>5394433.7090460202</v>
      </c>
      <c r="N7">
        <v>5792129.5618906999</v>
      </c>
      <c r="O7">
        <v>5309041.8116723802</v>
      </c>
    </row>
    <row r="8" spans="1:15" x14ac:dyDescent="0.3">
      <c r="A8" t="s">
        <v>93</v>
      </c>
      <c r="C8" s="20"/>
      <c r="D8">
        <v>2526894.9902689755</v>
      </c>
      <c r="E8">
        <v>3430742.9803906605</v>
      </c>
      <c r="F8">
        <v>4794137.0314681903</v>
      </c>
      <c r="G8">
        <v>4581593.6978747789</v>
      </c>
      <c r="H8">
        <v>4165929.8705735644</v>
      </c>
      <c r="I8">
        <v>3437523.2649708996</v>
      </c>
      <c r="J8">
        <v>2664130.7878842941</v>
      </c>
      <c r="K8">
        <v>3223091.4684353787</v>
      </c>
      <c r="L8">
        <v>5117164.7984177861</v>
      </c>
      <c r="M8">
        <v>4567878.7002848461</v>
      </c>
      <c r="N8">
        <v>4965429.6617469918</v>
      </c>
      <c r="O8">
        <v>4840371.0457961038</v>
      </c>
    </row>
    <row r="9" spans="1:15" x14ac:dyDescent="0.3">
      <c r="A9" t="s">
        <v>91</v>
      </c>
      <c r="B9" t="s">
        <v>18</v>
      </c>
      <c r="C9" s="21" t="s">
        <v>48</v>
      </c>
      <c r="D9">
        <v>1539741.89831293</v>
      </c>
      <c r="E9">
        <v>1539741.89831293</v>
      </c>
      <c r="F9">
        <v>1539741.89831293</v>
      </c>
      <c r="G9">
        <v>1539741.89831293</v>
      </c>
      <c r="H9">
        <v>1539741.89831293</v>
      </c>
      <c r="I9">
        <v>1539741.89831293</v>
      </c>
      <c r="J9">
        <v>1539741.89831293</v>
      </c>
      <c r="K9">
        <v>1539741.89831293</v>
      </c>
      <c r="L9">
        <v>1539741.89831293</v>
      </c>
      <c r="M9">
        <v>1539741.89831293</v>
      </c>
      <c r="N9">
        <v>1539741.89831293</v>
      </c>
      <c r="O9">
        <v>1539741.89831293</v>
      </c>
    </row>
    <row r="10" spans="1:15" x14ac:dyDescent="0.3">
      <c r="A10" t="s">
        <v>91</v>
      </c>
      <c r="B10" t="s">
        <v>17</v>
      </c>
      <c r="C10" s="22" t="s">
        <v>32</v>
      </c>
      <c r="D10">
        <v>594389.74846967403</v>
      </c>
      <c r="E10">
        <v>654755.05247511703</v>
      </c>
      <c r="F10">
        <v>762497.05155056203</v>
      </c>
      <c r="G10">
        <v>798901.16833800403</v>
      </c>
      <c r="H10">
        <v>718701.62325884996</v>
      </c>
      <c r="I10">
        <v>679298.93643700005</v>
      </c>
      <c r="J10">
        <v>550659.43916571501</v>
      </c>
      <c r="K10">
        <v>500280.19480502699</v>
      </c>
      <c r="L10">
        <v>797141.98774690402</v>
      </c>
      <c r="M10">
        <v>1042540.72640455</v>
      </c>
      <c r="N10">
        <v>931217.06986752397</v>
      </c>
      <c r="O10">
        <v>690225.44359521603</v>
      </c>
    </row>
    <row r="11" spans="1:15" x14ac:dyDescent="0.3">
      <c r="A11" t="s">
        <v>91</v>
      </c>
      <c r="B11" t="s">
        <v>19</v>
      </c>
      <c r="C11" s="21" t="s">
        <v>19</v>
      </c>
      <c r="D11">
        <v>98844.251744617504</v>
      </c>
      <c r="E11">
        <v>98844.251744617504</v>
      </c>
      <c r="F11">
        <v>98581.501038982504</v>
      </c>
      <c r="G11">
        <v>98581.501038982504</v>
      </c>
      <c r="H11">
        <v>98581.501038982504</v>
      </c>
      <c r="I11">
        <v>98586.819220999998</v>
      </c>
      <c r="J11">
        <v>98771.160785</v>
      </c>
      <c r="K11">
        <v>98940.653833999997</v>
      </c>
      <c r="L11">
        <v>98732.896833999999</v>
      </c>
      <c r="M11">
        <v>98732.896833999999</v>
      </c>
      <c r="N11">
        <v>98732.896833999999</v>
      </c>
      <c r="O11">
        <v>98732.896833999999</v>
      </c>
    </row>
    <row r="12" spans="1:15" x14ac:dyDescent="0.3">
      <c r="A12" t="s">
        <v>91</v>
      </c>
      <c r="B12" t="s">
        <v>22</v>
      </c>
      <c r="C12" s="22" t="s">
        <v>49</v>
      </c>
      <c r="D12">
        <v>17658.308619874999</v>
      </c>
      <c r="E12">
        <v>12474.306497125001</v>
      </c>
      <c r="F12">
        <v>15709.4058</v>
      </c>
      <c r="G12">
        <v>14632.893</v>
      </c>
      <c r="H12">
        <v>16361.7289</v>
      </c>
      <c r="I12">
        <v>20406.097634999998</v>
      </c>
      <c r="J12">
        <v>16432.215029999999</v>
      </c>
      <c r="K12">
        <v>13968.28356</v>
      </c>
      <c r="L12">
        <v>16171.699005</v>
      </c>
      <c r="M12">
        <v>18664.33107</v>
      </c>
      <c r="N12">
        <v>14523.631815000001</v>
      </c>
      <c r="O12">
        <v>35025.6205327875</v>
      </c>
    </row>
    <row r="13" spans="1:15" x14ac:dyDescent="0.3">
      <c r="A13" t="s">
        <v>91</v>
      </c>
      <c r="B13" t="s">
        <v>21</v>
      </c>
      <c r="C13" s="22" t="s">
        <v>21</v>
      </c>
      <c r="D13">
        <v>14849.600051047801</v>
      </c>
      <c r="E13">
        <v>10407.952020766799</v>
      </c>
      <c r="F13">
        <v>0</v>
      </c>
      <c r="G13">
        <v>4454.309475</v>
      </c>
      <c r="H13">
        <v>8445.1326411374994</v>
      </c>
      <c r="I13">
        <v>8833.1198051249994</v>
      </c>
      <c r="J13">
        <v>11727.664571699999</v>
      </c>
      <c r="K13">
        <v>2298.7738706625</v>
      </c>
      <c r="L13">
        <v>0</v>
      </c>
      <c r="M13">
        <v>12002.4450401625</v>
      </c>
      <c r="N13">
        <v>6081.5051450999999</v>
      </c>
      <c r="O13">
        <v>7952.3431391249997</v>
      </c>
    </row>
    <row r="14" spans="1:15" x14ac:dyDescent="0.3">
      <c r="A14" t="s">
        <v>91</v>
      </c>
      <c r="B14" t="s">
        <v>20</v>
      </c>
      <c r="C14" s="21" t="s">
        <v>44</v>
      </c>
      <c r="D14">
        <v>103700.16645883099</v>
      </c>
      <c r="E14">
        <v>44373.95016285</v>
      </c>
      <c r="F14">
        <v>67523.009399999995</v>
      </c>
      <c r="G14">
        <v>26145.365399999999</v>
      </c>
      <c r="H14">
        <v>27428.69745</v>
      </c>
      <c r="I14">
        <v>63358.628024999998</v>
      </c>
      <c r="J14">
        <v>41498.100104999998</v>
      </c>
      <c r="K14">
        <v>39352.454295000003</v>
      </c>
      <c r="L14">
        <v>36790.465635</v>
      </c>
      <c r="M14">
        <v>38847.11292</v>
      </c>
      <c r="N14">
        <v>40944.657599999999</v>
      </c>
      <c r="O14">
        <v>42889.018094999999</v>
      </c>
    </row>
    <row r="15" spans="1:15" x14ac:dyDescent="0.3">
      <c r="A15" t="s">
        <v>92</v>
      </c>
      <c r="C15" s="20"/>
      <c r="D15">
        <v>157711.01661199983</v>
      </c>
      <c r="E15">
        <v>1070145.5691772541</v>
      </c>
      <c r="F15">
        <v>2310084.165365716</v>
      </c>
      <c r="G15">
        <v>2099136.5623098621</v>
      </c>
      <c r="H15">
        <v>1756669.2889716644</v>
      </c>
      <c r="I15">
        <v>1027297.7655348442</v>
      </c>
      <c r="J15">
        <v>405300.30991394864</v>
      </c>
      <c r="K15">
        <v>1028509.2097577592</v>
      </c>
      <c r="L15">
        <v>2628585.8508839523</v>
      </c>
      <c r="M15">
        <v>1817349.2897032034</v>
      </c>
      <c r="N15">
        <v>2334188.002172438</v>
      </c>
      <c r="O15">
        <v>2425803.825287045</v>
      </c>
    </row>
    <row r="34" spans="10:10" x14ac:dyDescent="0.3">
      <c r="J34" s="16" t="s">
        <v>30</v>
      </c>
    </row>
    <row r="35" spans="10:10" x14ac:dyDescent="0.3">
      <c r="J35" s="15" t="s">
        <v>31</v>
      </c>
    </row>
    <row r="37" spans="10:10" x14ac:dyDescent="0.3">
      <c r="J37" s="15" t="s">
        <v>33</v>
      </c>
    </row>
    <row r="38" spans="10:10" x14ac:dyDescent="0.3">
      <c r="J38" s="16" t="s">
        <v>34</v>
      </c>
    </row>
    <row r="39" spans="10:10" x14ac:dyDescent="0.3">
      <c r="J39" s="15" t="s">
        <v>35</v>
      </c>
    </row>
    <row r="40" spans="10:10" x14ac:dyDescent="0.3">
      <c r="J40" s="16" t="s">
        <v>36</v>
      </c>
    </row>
    <row r="43" spans="10:10" x14ac:dyDescent="0.3">
      <c r="J43" s="15" t="s">
        <v>47</v>
      </c>
    </row>
    <row r="46" spans="10:10" x14ac:dyDescent="0.3">
      <c r="J46" s="16" t="s">
        <v>45</v>
      </c>
    </row>
    <row r="47" spans="10:10" x14ac:dyDescent="0.3">
      <c r="J47" s="15" t="s">
        <v>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E496-8A65-48FA-811E-211C55745B22}">
  <sheetPr>
    <tabColor rgb="FFFFC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3DAA-7B10-4A52-A9D1-A6E07F67B4BB}">
  <sheetPr>
    <tabColor theme="1"/>
  </sheetPr>
  <dimension ref="A1:B28"/>
  <sheetViews>
    <sheetView workbookViewId="0">
      <pane ySplit="1" topLeftCell="A2" activePane="bottomLeft" state="frozen"/>
      <selection pane="bottomLeft"/>
    </sheetView>
  </sheetViews>
  <sheetFormatPr defaultColWidth="10.88671875" defaultRowHeight="14.4" x14ac:dyDescent="0.3"/>
  <cols>
    <col min="1" max="1" width="17.44140625" style="4" customWidth="1"/>
    <col min="3" max="3" width="14.88671875" bestFit="1" customWidth="1"/>
  </cols>
  <sheetData>
    <row r="1" spans="1:2" s="2" customFormat="1" x14ac:dyDescent="0.3">
      <c r="A1" s="5" t="s">
        <v>0</v>
      </c>
      <c r="B1" s="2" t="s">
        <v>28</v>
      </c>
    </row>
    <row r="2" spans="1:2" x14ac:dyDescent="0.3">
      <c r="A2" s="4">
        <v>2003100005</v>
      </c>
      <c r="B2" t="s">
        <v>37</v>
      </c>
    </row>
    <row r="3" spans="1:2" x14ac:dyDescent="0.3">
      <c r="A3" s="4">
        <v>2003100006</v>
      </c>
      <c r="B3" t="s">
        <v>38</v>
      </c>
    </row>
    <row r="4" spans="1:2" x14ac:dyDescent="0.3">
      <c r="A4" s="4">
        <v>2003100007</v>
      </c>
      <c r="B4" t="s">
        <v>39</v>
      </c>
    </row>
    <row r="5" spans="1:2" x14ac:dyDescent="0.3">
      <c r="A5" s="4">
        <v>2211200001</v>
      </c>
      <c r="B5" t="s">
        <v>40</v>
      </c>
    </row>
    <row r="6" spans="1:2" x14ac:dyDescent="0.3">
      <c r="A6" s="4">
        <v>2211200002</v>
      </c>
      <c r="B6" t="s">
        <v>41</v>
      </c>
    </row>
    <row r="7" spans="1:2" x14ac:dyDescent="0.3">
      <c r="A7" s="4">
        <v>2211200003</v>
      </c>
      <c r="B7" t="s">
        <v>42</v>
      </c>
    </row>
    <row r="8" spans="1:2" x14ac:dyDescent="0.3">
      <c r="A8" s="4">
        <v>2201201000</v>
      </c>
      <c r="B8" t="s">
        <v>43</v>
      </c>
    </row>
    <row r="9" spans="1:2" x14ac:dyDescent="0.3">
      <c r="A9" s="4">
        <v>2690200007</v>
      </c>
      <c r="B9" t="s">
        <v>29</v>
      </c>
    </row>
    <row r="10" spans="1:2" x14ac:dyDescent="0.3">
      <c r="A10" s="4">
        <v>2690200010</v>
      </c>
      <c r="B10" t="s">
        <v>53</v>
      </c>
    </row>
    <row r="11" spans="1:2" x14ac:dyDescent="0.3">
      <c r="A11" s="4">
        <v>2532300000</v>
      </c>
      <c r="B11" t="s">
        <v>26</v>
      </c>
    </row>
    <row r="12" spans="1:2" x14ac:dyDescent="0.3">
      <c r="A12" s="4">
        <v>2530200000</v>
      </c>
      <c r="B12" t="s">
        <v>52</v>
      </c>
    </row>
    <row r="13" spans="1:2" x14ac:dyDescent="0.3">
      <c r="A13" s="4">
        <v>2530300000</v>
      </c>
      <c r="B13" t="s">
        <v>54</v>
      </c>
    </row>
    <row r="14" spans="1:2" x14ac:dyDescent="0.3">
      <c r="A14" s="4">
        <v>2400210100</v>
      </c>
      <c r="B14" t="s">
        <v>48</v>
      </c>
    </row>
    <row r="15" spans="1:2" x14ac:dyDescent="0.3">
      <c r="A15" s="4">
        <v>2400210200</v>
      </c>
      <c r="B15" t="s">
        <v>30</v>
      </c>
    </row>
    <row r="16" spans="1:2" x14ac:dyDescent="0.3">
      <c r="A16" s="4">
        <v>2400210120</v>
      </c>
      <c r="B16" t="s">
        <v>31</v>
      </c>
    </row>
    <row r="17" spans="1:2" x14ac:dyDescent="0.3">
      <c r="A17" s="4">
        <v>2546100100</v>
      </c>
      <c r="B17" t="s">
        <v>32</v>
      </c>
    </row>
    <row r="18" spans="1:2" x14ac:dyDescent="0.3">
      <c r="A18" s="4">
        <v>2544601400</v>
      </c>
      <c r="B18" t="s">
        <v>33</v>
      </c>
    </row>
    <row r="19" spans="1:2" x14ac:dyDescent="0.3">
      <c r="A19" s="4">
        <v>2544600140</v>
      </c>
      <c r="B19" t="s">
        <v>34</v>
      </c>
    </row>
    <row r="20" spans="1:2" x14ac:dyDescent="0.3">
      <c r="A20" s="4">
        <v>2544600120</v>
      </c>
      <c r="B20" t="s">
        <v>35</v>
      </c>
    </row>
    <row r="21" spans="1:2" x14ac:dyDescent="0.3">
      <c r="A21" s="4">
        <v>2544600170</v>
      </c>
      <c r="B21" t="s">
        <v>36</v>
      </c>
    </row>
    <row r="22" spans="1:2" x14ac:dyDescent="0.3">
      <c r="A22" s="4">
        <v>2561400000</v>
      </c>
      <c r="B22" t="s">
        <v>19</v>
      </c>
    </row>
    <row r="23" spans="1:2" x14ac:dyDescent="0.3">
      <c r="A23" s="4">
        <v>2627300000</v>
      </c>
      <c r="B23" t="s">
        <v>49</v>
      </c>
    </row>
    <row r="24" spans="1:2" x14ac:dyDescent="0.3">
      <c r="A24" s="4">
        <v>2627100000</v>
      </c>
      <c r="B24" t="s">
        <v>47</v>
      </c>
    </row>
    <row r="25" spans="1:2" x14ac:dyDescent="0.3">
      <c r="A25" s="4">
        <v>2601100200</v>
      </c>
      <c r="B25" t="s">
        <v>21</v>
      </c>
    </row>
    <row r="26" spans="1:2" x14ac:dyDescent="0.3">
      <c r="A26" s="4">
        <v>2633100000</v>
      </c>
      <c r="B26" t="s">
        <v>44</v>
      </c>
    </row>
    <row r="27" spans="1:2" x14ac:dyDescent="0.3">
      <c r="A27" s="4">
        <v>2633600000</v>
      </c>
      <c r="B27" t="s">
        <v>45</v>
      </c>
    </row>
    <row r="28" spans="1:2" x14ac:dyDescent="0.3">
      <c r="A28" s="4">
        <v>2616100000</v>
      </c>
      <c r="B28" t="s">
        <v>46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T55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3" max="14" width="12.21875" bestFit="1" customWidth="1"/>
  </cols>
  <sheetData>
    <row r="1" spans="1:20" s="2" customFormat="1" x14ac:dyDescent="0.3">
      <c r="A1" t="s">
        <v>1</v>
      </c>
      <c r="B1" t="s">
        <v>0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</row>
    <row r="2" spans="1:20" ht="14.55" customHeight="1" x14ac:dyDescent="0.3">
      <c r="A2">
        <v>2024</v>
      </c>
      <c r="B2">
        <v>2003100005</v>
      </c>
      <c r="C2">
        <v>15253265.183500798</v>
      </c>
      <c r="D2">
        <v>21088785.627172202</v>
      </c>
      <c r="E2">
        <v>28741335.630000003</v>
      </c>
      <c r="F2">
        <v>26580932.569999997</v>
      </c>
      <c r="G2">
        <v>23988357.32</v>
      </c>
      <c r="H2">
        <v>19024409.09</v>
      </c>
      <c r="I2">
        <v>14219294.350000001</v>
      </c>
      <c r="J2">
        <v>17479568.300000001</v>
      </c>
      <c r="K2">
        <v>30454508.600000001</v>
      </c>
      <c r="L2">
        <v>27409176.349999998</v>
      </c>
      <c r="M2">
        <v>29731107.890000001</v>
      </c>
      <c r="N2">
        <v>28260518.369999997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14.55" customHeight="1" x14ac:dyDescent="0.3">
      <c r="A3">
        <v>2024</v>
      </c>
      <c r="B3">
        <v>2003100006</v>
      </c>
      <c r="C3">
        <v>1147673.5472020002</v>
      </c>
      <c r="D3">
        <v>1358569.75037</v>
      </c>
      <c r="E3">
        <v>1865549.31</v>
      </c>
      <c r="F3">
        <v>1798306.99</v>
      </c>
      <c r="G3">
        <v>1442012.0299999998</v>
      </c>
      <c r="H3">
        <v>1276426.21</v>
      </c>
      <c r="I3">
        <v>924149.82000000007</v>
      </c>
      <c r="J3">
        <v>1275012.28</v>
      </c>
      <c r="K3">
        <v>1870121.79</v>
      </c>
      <c r="L3">
        <v>1872141.15</v>
      </c>
      <c r="M3">
        <v>2161137.13</v>
      </c>
      <c r="N3">
        <v>1688403.08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14.55" customHeight="1" x14ac:dyDescent="0.3">
      <c r="A4">
        <v>2024</v>
      </c>
      <c r="B4">
        <v>2003100007</v>
      </c>
      <c r="C4">
        <v>1501984.7344124001</v>
      </c>
      <c r="D4">
        <v>1151264.0289695999</v>
      </c>
      <c r="E4">
        <v>1470333.47</v>
      </c>
      <c r="F4">
        <v>1628563.6500000001</v>
      </c>
      <c r="G4">
        <v>1562604.23</v>
      </c>
      <c r="H4">
        <v>1485195.23</v>
      </c>
      <c r="I4">
        <v>1131820.5599999998</v>
      </c>
      <c r="J4">
        <v>821780.29</v>
      </c>
      <c r="K4">
        <v>1303688.0299999998</v>
      </c>
      <c r="L4">
        <v>1535434.2</v>
      </c>
      <c r="M4">
        <v>1544790.7000000002</v>
      </c>
      <c r="N4">
        <v>1497762.41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14.55" customHeight="1" x14ac:dyDescent="0.3">
      <c r="A5">
        <v>2024</v>
      </c>
      <c r="B5">
        <v>2211200001</v>
      </c>
      <c r="C5">
        <v>-9336788.7345072329</v>
      </c>
      <c r="D5">
        <v>-12888477.307886396</v>
      </c>
      <c r="E5">
        <v>-17560389.519540392</v>
      </c>
      <c r="F5">
        <v>-16154015.034733448</v>
      </c>
      <c r="G5">
        <v>-14572287.713533852</v>
      </c>
      <c r="H5">
        <v>-11649164.578394977</v>
      </c>
      <c r="I5">
        <v>-8686540.3381481916</v>
      </c>
      <c r="J5">
        <v>-10685746.351340942</v>
      </c>
      <c r="K5">
        <v>-18480801.116032291</v>
      </c>
      <c r="L5">
        <v>-16614971.979088241</v>
      </c>
      <c r="M5">
        <v>-18080349.897248216</v>
      </c>
      <c r="N5">
        <v>-17253623.790924061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14.55" customHeight="1" x14ac:dyDescent="0.3">
      <c r="A6">
        <v>2024</v>
      </c>
      <c r="B6">
        <v>2211200002</v>
      </c>
      <c r="C6">
        <v>-723645.01494004123</v>
      </c>
      <c r="D6">
        <v>-851880.0874124564</v>
      </c>
      <c r="E6">
        <v>-1172064.4363036081</v>
      </c>
      <c r="F6">
        <v>-1119928.4824158766</v>
      </c>
      <c r="G6">
        <v>-903671.5366455121</v>
      </c>
      <c r="H6">
        <v>-811095.8285900976</v>
      </c>
      <c r="I6">
        <v>-590189.53394671693</v>
      </c>
      <c r="J6">
        <v>-805823.52410282835</v>
      </c>
      <c r="K6">
        <v>-1178510.9915419267</v>
      </c>
      <c r="L6">
        <v>-1166665.5965778399</v>
      </c>
      <c r="M6">
        <v>-1349251.958093368</v>
      </c>
      <c r="N6">
        <v>-1055502.7897308101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14.55" customHeight="1" x14ac:dyDescent="0.3">
      <c r="A7">
        <v>2024</v>
      </c>
      <c r="B7">
        <v>2211200003</v>
      </c>
      <c r="C7">
        <v>-927479.00660414749</v>
      </c>
      <c r="D7">
        <v>-704715.47410218394</v>
      </c>
      <c r="E7">
        <v>-891741.66147497704</v>
      </c>
      <c r="F7">
        <v>-997120.07745444344</v>
      </c>
      <c r="G7">
        <v>-960150.55309049494</v>
      </c>
      <c r="H7">
        <v>-920083.11247849581</v>
      </c>
      <c r="I7">
        <v>-707533.22756387549</v>
      </c>
      <c r="J7">
        <v>-510035.97374145529</v>
      </c>
      <c r="K7">
        <v>-798532.1424569916</v>
      </c>
      <c r="L7">
        <v>-934751.90993476647</v>
      </c>
      <c r="M7">
        <v>-940569.68295495713</v>
      </c>
      <c r="N7">
        <v>-919269.08173384296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14.55" customHeight="1" x14ac:dyDescent="0.3">
      <c r="A8">
        <v>2024</v>
      </c>
      <c r="B8">
        <v>2201201000</v>
      </c>
      <c r="C8">
        <v>-11398.766246217199</v>
      </c>
      <c r="D8">
        <v>-8839.5312757342381</v>
      </c>
      <c r="E8">
        <v>-11413.751431754767</v>
      </c>
      <c r="F8">
        <v>-12483.943369729634</v>
      </c>
      <c r="G8">
        <v>-11682.298274725941</v>
      </c>
      <c r="H8">
        <v>-11405.38670121858</v>
      </c>
      <c r="I8">
        <v>-8858.3160090997208</v>
      </c>
      <c r="J8">
        <v>-6168.2206145791097</v>
      </c>
      <c r="K8">
        <v>-9898.6360629322153</v>
      </c>
      <c r="L8">
        <v>-11587.221695428991</v>
      </c>
      <c r="M8">
        <v>-11659.33904019412</v>
      </c>
      <c r="N8">
        <v>-11282.471231553485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14.55" customHeight="1" x14ac:dyDescent="0.3">
      <c r="A9">
        <v>2024</v>
      </c>
      <c r="B9">
        <v>2690200007</v>
      </c>
      <c r="C9">
        <v>-317875.15393591078</v>
      </c>
      <c r="D9">
        <v>-409768.75901953521</v>
      </c>
      <c r="E9">
        <v>-568307.7391289206</v>
      </c>
      <c r="F9">
        <v>-511261.6976856743</v>
      </c>
      <c r="G9">
        <v>-467668.52780748886</v>
      </c>
      <c r="H9">
        <v>-381856.68402023375</v>
      </c>
      <c r="I9">
        <v>-285451.89651801134</v>
      </c>
      <c r="J9">
        <v>-344870.89313454035</v>
      </c>
      <c r="K9">
        <v>-596806.46392799029</v>
      </c>
      <c r="L9">
        <v>-546218.24839118612</v>
      </c>
      <c r="M9">
        <v>-589848.29245393933</v>
      </c>
      <c r="N9">
        <v>-565735.57611375523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14.55" customHeight="1" x14ac:dyDescent="0.3">
      <c r="A10">
        <v>2024</v>
      </c>
      <c r="B10">
        <v>2690200010</v>
      </c>
      <c r="C10">
        <v>-67059.167186793871</v>
      </c>
      <c r="D10">
        <v>-87119.241687380854</v>
      </c>
      <c r="E10">
        <v>-123829.24404732311</v>
      </c>
      <c r="F10">
        <v>-118127.48462381828</v>
      </c>
      <c r="G10">
        <v>-111368.19520867856</v>
      </c>
      <c r="H10">
        <v>-89145.294525000019</v>
      </c>
      <c r="I10">
        <v>-65228.702607886691</v>
      </c>
      <c r="J10">
        <v>-72627.05919597407</v>
      </c>
      <c r="K10">
        <v>-113058.288</v>
      </c>
      <c r="L10">
        <v>-120163.84583953067</v>
      </c>
      <c r="M10">
        <v>-120876.87312739773</v>
      </c>
      <c r="N10">
        <v>-106978.35630500953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14.55" customHeight="1" x14ac:dyDescent="0.3">
      <c r="A11">
        <v>2024</v>
      </c>
      <c r="B11">
        <v>2532300000</v>
      </c>
      <c r="C11">
        <v>-1470207.5748717913</v>
      </c>
      <c r="D11">
        <v>-1932725.4307341292</v>
      </c>
      <c r="E11">
        <v>-2446516.2337589473</v>
      </c>
      <c r="F11">
        <v>-2307060.6568676503</v>
      </c>
      <c r="G11">
        <v>-2092614.7626787613</v>
      </c>
      <c r="H11">
        <v>-1618297.103107024</v>
      </c>
      <c r="I11">
        <v>-1227654.3623487127</v>
      </c>
      <c r="J11">
        <v>-1435278.968607926</v>
      </c>
      <c r="K11">
        <v>-2829668.0311388834</v>
      </c>
      <c r="L11">
        <v>-2625300.9409412681</v>
      </c>
      <c r="M11">
        <v>-2833429.9650960444</v>
      </c>
      <c r="N11">
        <v>-2614443.6068102433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14.55" customHeight="1" x14ac:dyDescent="0.3">
      <c r="A12">
        <v>2024</v>
      </c>
      <c r="B12">
        <v>2530200000</v>
      </c>
      <c r="C12">
        <v>-2543367.9942725478</v>
      </c>
      <c r="D12">
        <v>-3367126.0614075279</v>
      </c>
      <c r="E12">
        <v>-4541273.1791659035</v>
      </c>
      <c r="F12">
        <v>-4159371.2398202647</v>
      </c>
      <c r="G12">
        <v>-3748647.2542714346</v>
      </c>
      <c r="H12">
        <v>-2917515.752655949</v>
      </c>
      <c r="I12">
        <v>-2140880.4458391913</v>
      </c>
      <c r="J12">
        <v>-2608054.5929596364</v>
      </c>
      <c r="K12">
        <v>-4996800.533738289</v>
      </c>
      <c r="L12">
        <v>-4648491.5434395829</v>
      </c>
      <c r="M12">
        <v>-4971882.1149100009</v>
      </c>
      <c r="N12">
        <v>-4596069.2711621691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14.55" customHeight="1" x14ac:dyDescent="0.3">
      <c r="A13">
        <v>2024</v>
      </c>
      <c r="B13">
        <v>2530300000</v>
      </c>
      <c r="C13">
        <v>-154319.04551857413</v>
      </c>
      <c r="D13">
        <v>-138813.11712647995</v>
      </c>
      <c r="E13">
        <v>-181299.37930454346</v>
      </c>
      <c r="F13">
        <v>-177292.37985036781</v>
      </c>
      <c r="G13">
        <v>-165542.04224487388</v>
      </c>
      <c r="H13">
        <v>-180245.45721077503</v>
      </c>
      <c r="I13">
        <v>-147634.98828176677</v>
      </c>
      <c r="J13">
        <v>-106385.89161922825</v>
      </c>
      <c r="K13">
        <v>-134150.11548120002</v>
      </c>
      <c r="L13">
        <v>-155344.32453843046</v>
      </c>
      <c r="M13">
        <v>-184420.57522695707</v>
      </c>
      <c r="N13">
        <v>-175151.39560348619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14.55" customHeight="1" x14ac:dyDescent="0.3">
      <c r="A14">
        <v>2024</v>
      </c>
      <c r="B14">
        <v>2400210100</v>
      </c>
      <c r="C14">
        <v>-1523819.5431297973</v>
      </c>
      <c r="D14">
        <v>-1531111.157527446</v>
      </c>
      <c r="E14">
        <v>-1521637.4677494406</v>
      </c>
      <c r="F14">
        <v>-1512990.6429420649</v>
      </c>
      <c r="G14">
        <v>-1508750.0401583889</v>
      </c>
      <c r="H14">
        <v>-1508440.1684676786</v>
      </c>
      <c r="I14">
        <v>-1507887.838324459</v>
      </c>
      <c r="J14">
        <v>-1511575.2885234079</v>
      </c>
      <c r="K14">
        <v>-1540696.4491838852</v>
      </c>
      <c r="L14">
        <v>-1547838.7569218581</v>
      </c>
      <c r="M14">
        <v>-1548569.43552806</v>
      </c>
      <c r="N14">
        <v>-1550788.6754879931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14.55" customHeight="1" x14ac:dyDescent="0.3">
      <c r="A15">
        <v>2024</v>
      </c>
      <c r="B15">
        <v>2400210200</v>
      </c>
      <c r="C15">
        <v>-407.01102750000007</v>
      </c>
      <c r="D15">
        <v>-429.9827298921</v>
      </c>
      <c r="E15">
        <v>-15309.256958587517</v>
      </c>
      <c r="F15">
        <v>-582.63859500000012</v>
      </c>
      <c r="G15">
        <v>-637.2573900000001</v>
      </c>
      <c r="H15">
        <v>-9051.0420000000013</v>
      </c>
      <c r="I15">
        <v>-379.34589</v>
      </c>
      <c r="J15">
        <v>-890.07291450000002</v>
      </c>
      <c r="K15">
        <v>-26666.753190000007</v>
      </c>
      <c r="L15">
        <v>-527.99439000000007</v>
      </c>
      <c r="M15">
        <v>-441.87990000000008</v>
      </c>
      <c r="N15">
        <v>-89019.466333875011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14.55" customHeight="1" x14ac:dyDescent="0.3">
      <c r="A16">
        <v>2024</v>
      </c>
      <c r="B16">
        <v>2400210120</v>
      </c>
      <c r="C16">
        <v>-30909.524543259562</v>
      </c>
      <c r="D16">
        <v>-31057.429415066876</v>
      </c>
      <c r="E16">
        <v>-30865.262797944328</v>
      </c>
      <c r="F16">
        <v>-30689.868510077478</v>
      </c>
      <c r="G16">
        <v>-30603.85109652533</v>
      </c>
      <c r="H16">
        <v>-30597.565584128239</v>
      </c>
      <c r="I16">
        <v>-30586.361985779065</v>
      </c>
      <c r="J16">
        <v>-30661.159118379408</v>
      </c>
      <c r="K16">
        <v>-31251.859791711402</v>
      </c>
      <c r="L16">
        <v>-31396.736091085371</v>
      </c>
      <c r="M16">
        <v>-31411.557352837441</v>
      </c>
      <c r="N16">
        <v>-31456.572953482682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14.55" customHeight="1" x14ac:dyDescent="0.3">
      <c r="A17">
        <v>2024</v>
      </c>
      <c r="B17">
        <v>2546100100</v>
      </c>
      <c r="C17">
        <v>-358802.71282625006</v>
      </c>
      <c r="D17">
        <v>-376107.33455077809</v>
      </c>
      <c r="E17">
        <v>-445681.77704020828</v>
      </c>
      <c r="F17">
        <v>-475436.64132128179</v>
      </c>
      <c r="G17">
        <v>-384962.22418500006</v>
      </c>
      <c r="H17">
        <v>-366630.68970000005</v>
      </c>
      <c r="I17">
        <v>-268498.33129350003</v>
      </c>
      <c r="J17">
        <v>-227638.34806683435</v>
      </c>
      <c r="K17">
        <v>-413490.11320277973</v>
      </c>
      <c r="L17">
        <v>-381830.94645313761</v>
      </c>
      <c r="M17">
        <v>-394643.55968815665</v>
      </c>
      <c r="N17">
        <v>-372706.14279112499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14.55" customHeight="1" x14ac:dyDescent="0.3">
      <c r="A18">
        <v>2024</v>
      </c>
      <c r="B18">
        <v>2544601400</v>
      </c>
      <c r="C18">
        <v>-109605.29643112503</v>
      </c>
      <c r="D18">
        <v>-118609.10477650013</v>
      </c>
      <c r="E18">
        <v>-123117.26695895618</v>
      </c>
      <c r="F18">
        <v>-116028.82883361628</v>
      </c>
      <c r="G18">
        <v>-97509.604500000016</v>
      </c>
      <c r="H18">
        <v>-92866.290000000023</v>
      </c>
      <c r="I18">
        <v>-84998.736900000018</v>
      </c>
      <c r="J18">
        <v>-96952.952550162518</v>
      </c>
      <c r="K18">
        <v>-156020.26752300485</v>
      </c>
      <c r="L18">
        <v>-168444.87350460002</v>
      </c>
      <c r="M18">
        <v>-176087.59613760217</v>
      </c>
      <c r="N18">
        <v>-142666.17608650003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14.55" customHeight="1" x14ac:dyDescent="0.3">
      <c r="A19">
        <v>2024</v>
      </c>
      <c r="B19">
        <v>2544600140</v>
      </c>
      <c r="C19">
        <v>-77705.212594625016</v>
      </c>
      <c r="D19">
        <v>-102457.95750548822</v>
      </c>
      <c r="E19">
        <v>-122105.30944693858</v>
      </c>
      <c r="F19">
        <v>-131622.64395240572</v>
      </c>
      <c r="G19">
        <v>-165518.77072500001</v>
      </c>
      <c r="H19">
        <v>-157636.92450000002</v>
      </c>
      <c r="I19">
        <v>-149852.46899700005</v>
      </c>
      <c r="J19">
        <v>-136552.84107616253</v>
      </c>
      <c r="K19">
        <v>-133810.25790000003</v>
      </c>
      <c r="L19">
        <v>-374669.91324551264</v>
      </c>
      <c r="M19">
        <v>-263362.75371374527</v>
      </c>
      <c r="N19">
        <v>-108238.57164697502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14.55" customHeight="1" x14ac:dyDescent="0.3">
      <c r="A20">
        <v>2024</v>
      </c>
      <c r="B20">
        <v>2544600120</v>
      </c>
      <c r="C20">
        <v>-5524.3312451250022</v>
      </c>
      <c r="D20">
        <v>-9752.1445438394639</v>
      </c>
      <c r="E20">
        <v>-15468.533423580548</v>
      </c>
      <c r="F20">
        <v>-12906.135046685587</v>
      </c>
      <c r="G20">
        <v>-11954.921000000002</v>
      </c>
      <c r="H20">
        <v>-7698.0200000000013</v>
      </c>
      <c r="I20">
        <v>-6521.4226247500019</v>
      </c>
      <c r="J20">
        <v>-3642.6022710000002</v>
      </c>
      <c r="K20">
        <v>-16643.804933507563</v>
      </c>
      <c r="L20">
        <v>-21757.433195987502</v>
      </c>
      <c r="M20">
        <v>-19240.915793935452</v>
      </c>
      <c r="N20">
        <v>-10923.126623750002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ht="14.55" customHeight="1" x14ac:dyDescent="0.3">
      <c r="A21">
        <v>2024</v>
      </c>
      <c r="B21">
        <v>2544600170</v>
      </c>
      <c r="C21">
        <v>-3866.8847250000008</v>
      </c>
      <c r="D21">
        <v>-4994.0684132232964</v>
      </c>
      <c r="E21">
        <v>-6241.18</v>
      </c>
      <c r="F21">
        <v>-10642.356769379154</v>
      </c>
      <c r="G21">
        <v>-11738.239645000001</v>
      </c>
      <c r="H21">
        <v>-10026.894900000003</v>
      </c>
      <c r="I21">
        <v>-4764.0300592500016</v>
      </c>
      <c r="J21">
        <v>-2764.8399657725004</v>
      </c>
      <c r="K21">
        <v>-25028.068353701921</v>
      </c>
      <c r="L21">
        <v>-27633.961081650003</v>
      </c>
      <c r="M21">
        <v>-16961.501645555207</v>
      </c>
      <c r="N21">
        <v>-10536.490884562501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ht="14.55" customHeight="1" x14ac:dyDescent="0.3">
      <c r="A22">
        <v>2024</v>
      </c>
      <c r="B22">
        <v>2561400000</v>
      </c>
      <c r="C22">
        <v>-97865.595786750011</v>
      </c>
      <c r="D22">
        <v>-97865.595786750011</v>
      </c>
      <c r="E22">
        <v>-97605.446573250039</v>
      </c>
      <c r="F22">
        <v>-97605.446573250039</v>
      </c>
      <c r="G22">
        <v>-97605.446573250039</v>
      </c>
      <c r="H22">
        <v>-97610.712100000004</v>
      </c>
      <c r="I22">
        <v>-97793.228500000027</v>
      </c>
      <c r="J22">
        <v>-97961.04340000001</v>
      </c>
      <c r="K22">
        <v>-97755.343400000012</v>
      </c>
      <c r="L22">
        <v>-97755.343400000012</v>
      </c>
      <c r="M22">
        <v>-97755.343400000012</v>
      </c>
      <c r="N22">
        <v>-97755.343400000012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ht="14.55" customHeight="1" x14ac:dyDescent="0.3">
      <c r="A23">
        <v>2024</v>
      </c>
      <c r="B23">
        <v>2627300000</v>
      </c>
      <c r="C23">
        <v>-11832.966279750002</v>
      </c>
      <c r="D23">
        <v>-10668.467240750004</v>
      </c>
      <c r="E23">
        <v>-18729.565800000004</v>
      </c>
      <c r="F23">
        <v>-13879.426000000003</v>
      </c>
      <c r="G23">
        <v>-6075.5310000000018</v>
      </c>
      <c r="H23">
        <v>-16220.158900000004</v>
      </c>
      <c r="I23">
        <v>-11514.541500000003</v>
      </c>
      <c r="J23">
        <v>-11156.684000000001</v>
      </c>
      <c r="K23">
        <v>-13266.536800000002</v>
      </c>
      <c r="L23">
        <v>-6528.4340000000011</v>
      </c>
      <c r="M23">
        <v>-12028.489000000001</v>
      </c>
      <c r="N23">
        <v>-31238.467240750007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ht="14.55" customHeight="1" x14ac:dyDescent="0.3">
      <c r="A24">
        <v>2024</v>
      </c>
      <c r="B24">
        <v>2627100000</v>
      </c>
      <c r="C24">
        <v>-5825.3423401250011</v>
      </c>
      <c r="D24">
        <v>-1805.8392563750003</v>
      </c>
      <c r="E24">
        <v>-9079.840000000002</v>
      </c>
      <c r="F24">
        <v>-10433.467000000002</v>
      </c>
      <c r="G24">
        <v>-10286.197900000001</v>
      </c>
      <c r="H24">
        <v>-3214.2198000000008</v>
      </c>
      <c r="I24">
        <v>-4135.187100000001</v>
      </c>
      <c r="J24">
        <v>-2146.4432000000002</v>
      </c>
      <c r="K24">
        <v>-2135.0813000000003</v>
      </c>
      <c r="L24">
        <v>-11247.119400000001</v>
      </c>
      <c r="M24">
        <v>-1803.5413000000003</v>
      </c>
      <c r="N24">
        <v>-2119.2666000000004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ht="14.55" customHeight="1" x14ac:dyDescent="0.3">
      <c r="A25">
        <v>2024</v>
      </c>
      <c r="B25">
        <v>2601100200</v>
      </c>
      <c r="C25">
        <v>-12827.642847250003</v>
      </c>
      <c r="D25">
        <v>-8990.7802792500006</v>
      </c>
      <c r="E25">
        <v>0</v>
      </c>
      <c r="F25">
        <v>-3847.8000000000006</v>
      </c>
      <c r="G25">
        <v>-7295.2231000000002</v>
      </c>
      <c r="H25">
        <v>-7630.3810000000012</v>
      </c>
      <c r="I25">
        <v>-10130.797600000002</v>
      </c>
      <c r="J25">
        <v>-1985.7673000000004</v>
      </c>
      <c r="K25">
        <v>0</v>
      </c>
      <c r="L25">
        <v>-10368.163300000002</v>
      </c>
      <c r="M25">
        <v>-5253.4328000000014</v>
      </c>
      <c r="N25">
        <v>-6869.5330000000013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ht="14.55" customHeight="1" x14ac:dyDescent="0.3">
      <c r="A26">
        <v>2024</v>
      </c>
      <c r="B26">
        <v>2633100000</v>
      </c>
      <c r="C26">
        <v>-71770.089737500006</v>
      </c>
      <c r="D26">
        <v>-13956.64980325</v>
      </c>
      <c r="E26">
        <v>0</v>
      </c>
      <c r="F26">
        <v>0</v>
      </c>
      <c r="G26">
        <v>0</v>
      </c>
      <c r="H26">
        <v>-33073.329300000005</v>
      </c>
      <c r="I26">
        <v>-8268.3293000000012</v>
      </c>
      <c r="J26">
        <v>-8268.3293000000012</v>
      </c>
      <c r="K26">
        <v>-8268.3293000000012</v>
      </c>
      <c r="L26">
        <v>-8268.3293000000012</v>
      </c>
      <c r="M26">
        <v>-8268.3293000000012</v>
      </c>
      <c r="N26">
        <v>-8268.3293000000012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ht="14.55" customHeight="1" x14ac:dyDescent="0.3">
      <c r="A27">
        <v>2024</v>
      </c>
      <c r="B27">
        <v>2633600000</v>
      </c>
      <c r="C27">
        <v>-26991.973556625006</v>
      </c>
      <c r="D27">
        <v>-28304.255113750001</v>
      </c>
      <c r="E27">
        <v>-27343.580000000005</v>
      </c>
      <c r="F27">
        <v>-24900.348000000002</v>
      </c>
      <c r="G27">
        <v>-26122.569000000007</v>
      </c>
      <c r="H27">
        <v>-27268.221200000007</v>
      </c>
      <c r="I27">
        <v>-31253.670800000007</v>
      </c>
      <c r="J27">
        <v>-29210.198600000003</v>
      </c>
      <c r="K27">
        <v>-26770.209400000003</v>
      </c>
      <c r="L27">
        <v>-28728.921100000003</v>
      </c>
      <c r="M27">
        <v>-30726.582700000003</v>
      </c>
      <c r="N27">
        <v>-30158.354600000002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ht="14.55" customHeight="1" x14ac:dyDescent="0.3">
      <c r="A28">
        <v>2024</v>
      </c>
      <c r="B28">
        <v>2616100000</v>
      </c>
      <c r="C28">
        <v>0</v>
      </c>
      <c r="D28">
        <v>0</v>
      </c>
      <c r="E28">
        <v>-36964.048000000003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ht="14.55" customHeight="1" x14ac:dyDescent="0.3">
      <c r="A29">
        <v>2025</v>
      </c>
      <c r="B29">
        <v>2003100005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15587141.759999998</v>
      </c>
      <c r="P29">
        <v>21550395.090000004</v>
      </c>
      <c r="Q29">
        <v>25921509.449999996</v>
      </c>
      <c r="R29">
        <v>19150184.419999998</v>
      </c>
      <c r="S29">
        <v>20358143.84</v>
      </c>
      <c r="T29">
        <v>18521907.539999999</v>
      </c>
    </row>
    <row r="30" spans="1:20" ht="14.55" customHeight="1" x14ac:dyDescent="0.3">
      <c r="A30">
        <v>2025</v>
      </c>
      <c r="B30">
        <v>2003100006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1162130.4500000002</v>
      </c>
      <c r="P30">
        <v>1375683.25</v>
      </c>
      <c r="Q30">
        <v>1741665.93</v>
      </c>
      <c r="R30">
        <v>1276638.8700000001</v>
      </c>
      <c r="S30">
        <v>1297552.5299999998</v>
      </c>
      <c r="T30">
        <v>1173863.2000000002</v>
      </c>
    </row>
    <row r="31" spans="1:20" ht="14.55" customHeight="1" x14ac:dyDescent="0.3">
      <c r="A31">
        <v>2025</v>
      </c>
      <c r="B31">
        <v>2003100007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1520904.79</v>
      </c>
      <c r="P31">
        <v>1165766.1599999999</v>
      </c>
      <c r="Q31">
        <v>1397252.56</v>
      </c>
      <c r="R31">
        <v>1562865.42</v>
      </c>
      <c r="S31">
        <v>1748359.82</v>
      </c>
      <c r="T31">
        <v>1444158.71</v>
      </c>
    </row>
    <row r="32" spans="1:20" ht="14.55" customHeight="1" x14ac:dyDescent="0.3">
      <c r="A32">
        <v>2025</v>
      </c>
      <c r="B32">
        <v>2211200001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-9511517.2004292104</v>
      </c>
      <c r="P32">
        <v>-13135651.094679004</v>
      </c>
      <c r="Q32">
        <v>-15677777.382166883</v>
      </c>
      <c r="R32">
        <v>-11529761.10350487</v>
      </c>
      <c r="S32">
        <v>-12207980.403199045</v>
      </c>
      <c r="T32">
        <v>-11216653.512991706</v>
      </c>
    </row>
    <row r="33" spans="1:20" ht="14.55" customHeight="1" x14ac:dyDescent="0.3">
      <c r="A33">
        <v>2025</v>
      </c>
      <c r="B33">
        <v>2211200002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-729894.78932666406</v>
      </c>
      <c r="P33">
        <v>-860147.62850186089</v>
      </c>
      <c r="Q33">
        <v>-1085322.4078376205</v>
      </c>
      <c r="R33">
        <v>-790838.16351295868</v>
      </c>
      <c r="S33">
        <v>-806592.5920911869</v>
      </c>
      <c r="T33">
        <v>-734792.92918374401</v>
      </c>
    </row>
    <row r="34" spans="1:20" ht="14.55" customHeight="1" x14ac:dyDescent="0.3">
      <c r="A34">
        <v>2025</v>
      </c>
      <c r="B34">
        <v>2211200003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-927464.07947095949</v>
      </c>
      <c r="P34">
        <v>-705415.86234208697</v>
      </c>
      <c r="Q34">
        <v>-844968.03555313603</v>
      </c>
      <c r="R34">
        <v>-951185.12176403822</v>
      </c>
      <c r="S34">
        <v>-1063118.2467180912</v>
      </c>
      <c r="T34">
        <v>-883462.24840680009</v>
      </c>
    </row>
    <row r="35" spans="1:20" ht="14.55" customHeight="1" x14ac:dyDescent="0.3">
      <c r="A35">
        <v>2025</v>
      </c>
      <c r="B35">
        <v>2201201000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-11611.850274976412</v>
      </c>
      <c r="P35">
        <v>-8922.8193539330478</v>
      </c>
      <c r="Q35">
        <v>-10794.897760331902</v>
      </c>
      <c r="R35">
        <v>-12371.126846267103</v>
      </c>
      <c r="S35">
        <v>-13693.74107909236</v>
      </c>
      <c r="T35">
        <v>-11170.573158653138</v>
      </c>
    </row>
    <row r="36" spans="1:20" ht="14.55" customHeight="1" x14ac:dyDescent="0.3">
      <c r="A36">
        <v>2025</v>
      </c>
      <c r="B36">
        <v>2690200007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-329966.84307302831</v>
      </c>
      <c r="P36">
        <v>-444477.28743122064</v>
      </c>
      <c r="Q36">
        <v>-530386.95979647711</v>
      </c>
      <c r="R36">
        <v>-380806.02657311741</v>
      </c>
      <c r="S36">
        <v>-409564.1491219647</v>
      </c>
      <c r="T36">
        <v>-367756.22248826141</v>
      </c>
    </row>
    <row r="37" spans="1:20" ht="14.55" customHeight="1" x14ac:dyDescent="0.3">
      <c r="A37">
        <v>2025</v>
      </c>
      <c r="B37">
        <v>2690200010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-74250.497054608073</v>
      </c>
      <c r="P37">
        <v>-90525.201571920741</v>
      </c>
      <c r="Q37">
        <v>-120810.01492454309</v>
      </c>
      <c r="R37">
        <v>-111996.59830255566</v>
      </c>
      <c r="S37">
        <v>-114779.62223885756</v>
      </c>
      <c r="T37">
        <v>-104151.2659339878</v>
      </c>
    </row>
    <row r="38" spans="1:20" ht="14.55" customHeight="1" x14ac:dyDescent="0.3">
      <c r="A38">
        <v>2025</v>
      </c>
      <c r="B38">
        <v>2532300000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-1830023.9135537171</v>
      </c>
      <c r="P38">
        <v>-2405737.6774740806</v>
      </c>
      <c r="Q38">
        <v>-2768479.8280276647</v>
      </c>
      <c r="R38">
        <v>-2084666.5777848272</v>
      </c>
      <c r="S38">
        <v>-2202174.6291354145</v>
      </c>
      <c r="T38">
        <v>-1982751.8174181338</v>
      </c>
    </row>
    <row r="39" spans="1:20" ht="14.55" customHeight="1" x14ac:dyDescent="0.3">
      <c r="A39">
        <v>2025</v>
      </c>
      <c r="B39">
        <v>2530200000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-2778072.4982260326</v>
      </c>
      <c r="P39">
        <v>-3677847.7712706476</v>
      </c>
      <c r="Q39">
        <v>-4284234.8750721337</v>
      </c>
      <c r="R39">
        <v>-3178369.075623937</v>
      </c>
      <c r="S39">
        <v>-3385070.5480162837</v>
      </c>
      <c r="T39">
        <v>-3050680.7288258751</v>
      </c>
    </row>
    <row r="40" spans="1:20" ht="14.55" customHeight="1" x14ac:dyDescent="0.3">
      <c r="A40">
        <v>2025</v>
      </c>
      <c r="B40">
        <v>2530300000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-156074.8880086717</v>
      </c>
      <c r="P40">
        <v>-140392.53312412635</v>
      </c>
      <c r="Q40">
        <v>-180733.35611055975</v>
      </c>
      <c r="R40">
        <v>-163355.03418914252</v>
      </c>
      <c r="S40">
        <v>-185825.34447021439</v>
      </c>
      <c r="T40">
        <v>-148540.53177824614</v>
      </c>
    </row>
    <row r="41" spans="1:20" ht="14.55" customHeight="1" x14ac:dyDescent="0.3">
      <c r="A41">
        <v>2025</v>
      </c>
      <c r="B41">
        <v>2400210100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-1542025.3909785931</v>
      </c>
      <c r="P41">
        <v>-1561231.0370585187</v>
      </c>
      <c r="Q41">
        <v>-1543421.3917061251</v>
      </c>
      <c r="R41">
        <v>-1559364.2245044285</v>
      </c>
      <c r="S41">
        <v>-1549069.9559610896</v>
      </c>
      <c r="T41">
        <v>-1552312.410868014</v>
      </c>
    </row>
    <row r="42" spans="1:20" ht="14.55" customHeight="1" x14ac:dyDescent="0.3">
      <c r="A42">
        <v>2025</v>
      </c>
      <c r="B42">
        <v>2400210200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-415.55055742033682</v>
      </c>
      <c r="P42">
        <v>-434.61418857232928</v>
      </c>
      <c r="Q42">
        <v>-20457.160535096336</v>
      </c>
      <c r="R42">
        <v>-769.53963193034656</v>
      </c>
      <c r="S42">
        <v>-580.92697704545765</v>
      </c>
      <c r="T42">
        <v>-8439.6192744227756</v>
      </c>
    </row>
    <row r="43" spans="1:20" ht="14.55" customHeight="1" x14ac:dyDescent="0.3">
      <c r="A43">
        <v>2025</v>
      </c>
      <c r="B43">
        <v>2400210120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-31278.816368824017</v>
      </c>
      <c r="P43">
        <v>-31668.388343768856</v>
      </c>
      <c r="Q43">
        <v>-31307.133185565603</v>
      </c>
      <c r="R43">
        <v>-31630.52146594958</v>
      </c>
      <c r="S43">
        <v>-31421.710030481503</v>
      </c>
      <c r="T43">
        <v>-31487.480770841059</v>
      </c>
    </row>
    <row r="44" spans="1:20" ht="14.55" customHeight="1" x14ac:dyDescent="0.3">
      <c r="A44">
        <v>2025</v>
      </c>
      <c r="B44">
        <v>2546100100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-359256.31929000001</v>
      </c>
      <c r="P44">
        <v>-369330.92676575581</v>
      </c>
      <c r="Q44">
        <v>-425180.18966605875</v>
      </c>
      <c r="R44">
        <v>-358492.33783221879</v>
      </c>
      <c r="S44">
        <v>-303859.33126635099</v>
      </c>
      <c r="T44">
        <v>-286833.30015779997</v>
      </c>
    </row>
    <row r="45" spans="1:20" ht="14.55" customHeight="1" x14ac:dyDescent="0.3">
      <c r="A45">
        <v>2025</v>
      </c>
      <c r="B45">
        <v>2544601400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-120743.03726100002</v>
      </c>
      <c r="P45">
        <v>-128562.52376125654</v>
      </c>
      <c r="Q45">
        <v>-132254.70154772289</v>
      </c>
      <c r="R45">
        <v>-131225.52788252197</v>
      </c>
      <c r="S45">
        <v>-113819.14772511229</v>
      </c>
      <c r="T45">
        <v>-108185.12812800003</v>
      </c>
    </row>
    <row r="46" spans="1:20" ht="14.55" customHeight="1" x14ac:dyDescent="0.3">
      <c r="A46">
        <v>2025</v>
      </c>
      <c r="B46">
        <v>2544600140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-77803.449273000006</v>
      </c>
      <c r="P46">
        <v>-90917.016300000018</v>
      </c>
      <c r="Q46">
        <v>-108164.70699812661</v>
      </c>
      <c r="R46">
        <v>-142914.88007725426</v>
      </c>
      <c r="S46">
        <v>-133451.56798714478</v>
      </c>
      <c r="T46">
        <v>-144759.45764610005</v>
      </c>
    </row>
    <row r="47" spans="1:20" ht="14.55" customHeight="1" x14ac:dyDescent="0.3">
      <c r="A47">
        <v>2025</v>
      </c>
      <c r="B47">
        <v>2544600120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-12718.715229000001</v>
      </c>
      <c r="P47">
        <v>-13651.578459708369</v>
      </c>
      <c r="Q47">
        <v>-16336.879192012504</v>
      </c>
      <c r="R47">
        <v>-15475.386891739785</v>
      </c>
      <c r="S47">
        <v>-11421.3553828605</v>
      </c>
      <c r="T47">
        <v>-12351.666690000002</v>
      </c>
    </row>
    <row r="48" spans="1:20" ht="14.55" customHeight="1" x14ac:dyDescent="0.3">
      <c r="A48">
        <v>2025</v>
      </c>
      <c r="B48">
        <v>2544600170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-2632.9842000000003</v>
      </c>
      <c r="P48">
        <v>-2560.9757513725699</v>
      </c>
      <c r="Q48">
        <v>-2620.5616775250001</v>
      </c>
      <c r="R48">
        <v>-3759.3345729041562</v>
      </c>
      <c r="S48">
        <v>-3757.0973813010005</v>
      </c>
      <c r="T48">
        <v>-3807.1657800000003</v>
      </c>
    </row>
    <row r="49" spans="1:20" ht="14.55" customHeight="1" x14ac:dyDescent="0.3">
      <c r="A49">
        <v>2025</v>
      </c>
      <c r="B49">
        <v>2561400000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-96777.789966000011</v>
      </c>
      <c r="P49">
        <v>-96777.789966000011</v>
      </c>
      <c r="Q49">
        <v>-96777.789966000011</v>
      </c>
      <c r="R49">
        <v>-96777.789966000011</v>
      </c>
      <c r="S49">
        <v>-96777.789966000011</v>
      </c>
      <c r="T49">
        <v>-96777.789966000011</v>
      </c>
    </row>
    <row r="50" spans="1:20" ht="14.55" customHeight="1" x14ac:dyDescent="0.3">
      <c r="A50">
        <v>2025</v>
      </c>
      <c r="B50">
        <v>2627300000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-11847.925782000002</v>
      </c>
      <c r="P50">
        <v>-8517.8596140000009</v>
      </c>
      <c r="Q50">
        <v>-2207.6099100000006</v>
      </c>
      <c r="R50">
        <v>-7067.7178110000013</v>
      </c>
      <c r="S50">
        <v>-12834.947466000003</v>
      </c>
      <c r="T50">
        <v>-22129.992621000005</v>
      </c>
    </row>
    <row r="51" spans="1:20" ht="14.55" customHeight="1" x14ac:dyDescent="0.3">
      <c r="A51">
        <v>2025</v>
      </c>
      <c r="B51">
        <v>2627100000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-5832.7068690000006</v>
      </c>
      <c r="P51">
        <v>-1808.1222390000003</v>
      </c>
      <c r="Q51">
        <v>-7327.0032660000015</v>
      </c>
      <c r="R51">
        <v>-7621.5548970000018</v>
      </c>
      <c r="S51">
        <v>-2082.0939480000002</v>
      </c>
      <c r="T51">
        <v>-2059.214058</v>
      </c>
    </row>
    <row r="52" spans="1:20" ht="14.55" customHeight="1" x14ac:dyDescent="0.3">
      <c r="A52">
        <v>2025</v>
      </c>
      <c r="B52">
        <v>2601100200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-12843.859842000002</v>
      </c>
      <c r="P52">
        <v>-9002.1466260000016</v>
      </c>
      <c r="Q52">
        <v>-674.07030900000018</v>
      </c>
      <c r="R52">
        <v>-782.94744000000003</v>
      </c>
      <c r="S52">
        <v>-1103.4935010000002</v>
      </c>
      <c r="T52">
        <v>-4852.5611310000004</v>
      </c>
    </row>
    <row r="53" spans="1:20" ht="14.55" customHeight="1" x14ac:dyDescent="0.3">
      <c r="A53">
        <v>2025</v>
      </c>
      <c r="B53">
        <v>2633100000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-71860.823100000009</v>
      </c>
      <c r="P53">
        <v>-13974.294114</v>
      </c>
      <c r="Q53">
        <v>-9383.5460070000008</v>
      </c>
      <c r="R53">
        <v>-10880.322057000001</v>
      </c>
      <c r="S53">
        <v>-10131.934032000001</v>
      </c>
      <c r="T53">
        <v>-10131.934032000001</v>
      </c>
    </row>
    <row r="54" spans="1:20" ht="14.55" customHeight="1" x14ac:dyDescent="0.3">
      <c r="A54">
        <v>2025</v>
      </c>
      <c r="B54">
        <v>2633600000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-27026.097417000004</v>
      </c>
      <c r="P54">
        <v>-28340.037990000004</v>
      </c>
      <c r="Q54">
        <v>-28256.017284000001</v>
      </c>
      <c r="R54">
        <v>-25741.912680000005</v>
      </c>
      <c r="S54">
        <v>-24393.041343000004</v>
      </c>
      <c r="T54">
        <v>-25141.213746000005</v>
      </c>
    </row>
    <row r="55" spans="1:20" ht="14.55" customHeight="1" x14ac:dyDescent="0.3">
      <c r="A55">
        <v>2025</v>
      </c>
      <c r="B55">
        <v>2616100000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-38153.678013000012</v>
      </c>
      <c r="R55">
        <v>0</v>
      </c>
      <c r="S55">
        <v>0</v>
      </c>
      <c r="T55">
        <v>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8E4A-844A-43BF-AD3A-415732D1622B}">
  <sheetPr>
    <tabColor theme="1"/>
  </sheetPr>
  <dimension ref="B1:O26"/>
  <sheetViews>
    <sheetView workbookViewId="0">
      <pane ySplit="3" topLeftCell="A4" activePane="bottomLeft" state="frozen"/>
      <selection pane="bottomLeft"/>
    </sheetView>
  </sheetViews>
  <sheetFormatPr defaultColWidth="10.88671875" defaultRowHeight="14.4" x14ac:dyDescent="0.3"/>
  <cols>
    <col min="4" max="4" width="14.5546875" bestFit="1" customWidth="1"/>
  </cols>
  <sheetData>
    <row r="1" spans="2:15" x14ac:dyDescent="0.3"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2:15" x14ac:dyDescent="0.3"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64</v>
      </c>
      <c r="N3" s="3" t="s">
        <v>65</v>
      </c>
      <c r="O3" s="3" t="s">
        <v>66</v>
      </c>
    </row>
    <row r="4" spans="2:15" x14ac:dyDescent="0.3"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5" x14ac:dyDescent="0.3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2:15" x14ac:dyDescent="0.3">
      <c r="B6" t="s">
        <v>14</v>
      </c>
      <c r="D6" s="6">
        <v>18928135.072498478</v>
      </c>
      <c r="E6" s="6">
        <v>24920142.093276463</v>
      </c>
      <c r="F6" s="6">
        <v>33841465.42255</v>
      </c>
      <c r="G6" s="6">
        <v>31628224.583339993</v>
      </c>
      <c r="H6" s="6">
        <v>28396608.206160001</v>
      </c>
      <c r="I6" s="6">
        <v>22853546.025970001</v>
      </c>
      <c r="J6" s="6">
        <v>16910000.054470003</v>
      </c>
      <c r="K6" s="6">
        <v>20320262.58306</v>
      </c>
      <c r="L6" s="6">
        <v>37167698.933705002</v>
      </c>
      <c r="M6" s="6">
        <v>34279013.753494993</v>
      </c>
      <c r="N6" s="6">
        <v>37110361.590127759</v>
      </c>
      <c r="O6" s="6">
        <v>34586886.816891879</v>
      </c>
    </row>
    <row r="7" spans="2:15" x14ac:dyDescent="0.3">
      <c r="B7" t="s">
        <v>15</v>
      </c>
      <c r="D7" s="6">
        <v>-11379260.889478678</v>
      </c>
      <c r="E7" s="6">
        <v>-14940672.270526728</v>
      </c>
      <c r="F7" s="6">
        <v>-20325399.297635794</v>
      </c>
      <c r="G7" s="6">
        <v>-18975128.868847851</v>
      </c>
      <c r="H7" s="6">
        <v>-17054295.842964519</v>
      </c>
      <c r="I7" s="6">
        <v>-13728918.022774482</v>
      </c>
      <c r="J7" s="6">
        <v>-10145183.362461647</v>
      </c>
      <c r="K7" s="6">
        <v>-12170512.164061371</v>
      </c>
      <c r="L7" s="6">
        <v>-22281428.484606322</v>
      </c>
      <c r="M7" s="6">
        <v>-20527854.643009987</v>
      </c>
      <c r="N7" s="6">
        <v>-22204997.80304775</v>
      </c>
      <c r="O7" s="6">
        <v>-20700360.939808652</v>
      </c>
    </row>
    <row r="8" spans="2:15" ht="15" thickBot="1" x14ac:dyDescent="0.35">
      <c r="B8" s="1" t="s">
        <v>16</v>
      </c>
      <c r="C8" s="1"/>
      <c r="D8" s="7">
        <f>SUM(D6:D7)</f>
        <v>7548874.1830198001</v>
      </c>
      <c r="E8" s="7">
        <f t="shared" ref="E8:O8" si="0">SUM(E6:E7)</f>
        <v>9979469.8227497358</v>
      </c>
      <c r="F8" s="7">
        <f t="shared" si="0"/>
        <v>13516066.124914207</v>
      </c>
      <c r="G8" s="7">
        <f t="shared" si="0"/>
        <v>12653095.714492142</v>
      </c>
      <c r="H8" s="7">
        <f t="shared" si="0"/>
        <v>11342312.363195483</v>
      </c>
      <c r="I8" s="7">
        <f t="shared" si="0"/>
        <v>9124628.0031955186</v>
      </c>
      <c r="J8" s="7">
        <f t="shared" si="0"/>
        <v>6764816.6920083556</v>
      </c>
      <c r="K8" s="7">
        <f t="shared" si="0"/>
        <v>8149750.4189986289</v>
      </c>
      <c r="L8" s="7">
        <f t="shared" si="0"/>
        <v>14886270.44909868</v>
      </c>
      <c r="M8" s="7">
        <f t="shared" si="0"/>
        <v>13751159.110485006</v>
      </c>
      <c r="N8" s="7">
        <f t="shared" si="0"/>
        <v>14905363.787080009</v>
      </c>
      <c r="O8" s="7">
        <f t="shared" si="0"/>
        <v>13886525.877083227</v>
      </c>
    </row>
    <row r="9" spans="2:15" ht="15" thickTop="1" x14ac:dyDescent="0.3"/>
    <row r="10" spans="2:15" x14ac:dyDescent="0.3">
      <c r="B10" t="s">
        <v>25</v>
      </c>
      <c r="D10" s="6">
        <v>-425933.52437138214</v>
      </c>
      <c r="E10" s="6">
        <v>-560769.6642574626</v>
      </c>
      <c r="F10" s="6">
        <v>-761523.23417545937</v>
      </c>
      <c r="G10" s="6">
        <v>-711719.41212343529</v>
      </c>
      <c r="H10" s="6">
        <v>-638999.42424948665</v>
      </c>
      <c r="I10" s="6">
        <v>-514265.74070512032</v>
      </c>
      <c r="J10" s="6">
        <v>-380520.10368340794</v>
      </c>
      <c r="K10" s="6">
        <v>-457260.10645021329</v>
      </c>
      <c r="L10" s="6">
        <v>-836372.35992725717</v>
      </c>
      <c r="M10" s="6">
        <v>-771369.23865336482</v>
      </c>
      <c r="N10" s="6">
        <v>-835082.11676624767</v>
      </c>
      <c r="O10" s="6">
        <v>-778297.20374075358</v>
      </c>
    </row>
    <row r="11" spans="2:15" x14ac:dyDescent="0.3">
      <c r="B11" t="s">
        <v>26</v>
      </c>
      <c r="D11" s="6">
        <v>-1666186.2385877755</v>
      </c>
      <c r="E11" s="6">
        <v>-2162748.0164199658</v>
      </c>
      <c r="F11" s="6">
        <v>-2853089.8029714175</v>
      </c>
      <c r="G11" s="6">
        <v>-2627283.7802903662</v>
      </c>
      <c r="H11" s="6">
        <v>-2288427.6901496761</v>
      </c>
      <c r="I11" s="6">
        <v>-1841723.0383378961</v>
      </c>
      <c r="J11" s="6">
        <v>-1320813.5830333168</v>
      </c>
      <c r="K11" s="6">
        <v>-1612377.234865766</v>
      </c>
      <c r="L11" s="6">
        <v>-3179597.401376348</v>
      </c>
      <c r="M11" s="6">
        <v>-3017477.462500765</v>
      </c>
      <c r="N11" s="6">
        <v>-3312722.4466760238</v>
      </c>
      <c r="O11" s="6">
        <v>-2958815.8158739386</v>
      </c>
    </row>
    <row r="12" spans="2:15" x14ac:dyDescent="0.3">
      <c r="B12" t="s">
        <v>27</v>
      </c>
      <c r="D12" s="6">
        <v>-2929859.4297916428</v>
      </c>
      <c r="E12" s="6">
        <v>-3825209.161681666</v>
      </c>
      <c r="F12" s="6">
        <v>-5107316.0562991342</v>
      </c>
      <c r="G12" s="6">
        <v>-4732498.8242035117</v>
      </c>
      <c r="H12" s="6">
        <v>-4248955.3782227663</v>
      </c>
      <c r="I12" s="6">
        <v>-3331115.959181576</v>
      </c>
      <c r="J12" s="6">
        <v>-2399352.2174073793</v>
      </c>
      <c r="K12" s="6">
        <v>-2857021.6092472407</v>
      </c>
      <c r="L12" s="6">
        <v>-5753135.8893773099</v>
      </c>
      <c r="M12" s="6">
        <v>-5394433.7090460155</v>
      </c>
      <c r="N12" s="6">
        <v>-5792129.5618906952</v>
      </c>
      <c r="O12" s="6">
        <v>-5309041.8116723811</v>
      </c>
    </row>
    <row r="13" spans="2:15" ht="15" thickBot="1" x14ac:dyDescent="0.35">
      <c r="B13" s="1" t="s">
        <v>50</v>
      </c>
      <c r="C13" s="1"/>
      <c r="D13" s="7">
        <f t="shared" ref="D13:O13" si="1">SUM(D10:D12)</f>
        <v>-5021979.1927508004</v>
      </c>
      <c r="E13" s="7">
        <f t="shared" si="1"/>
        <v>-6548726.8423590939</v>
      </c>
      <c r="F13" s="7">
        <f t="shared" si="1"/>
        <v>-8721929.0934460107</v>
      </c>
      <c r="G13" s="7">
        <f t="shared" si="1"/>
        <v>-8071502.016617313</v>
      </c>
      <c r="H13" s="7">
        <f t="shared" si="1"/>
        <v>-7176382.4926219285</v>
      </c>
      <c r="I13" s="7">
        <f t="shared" si="1"/>
        <v>-5687104.7382245921</v>
      </c>
      <c r="J13" s="7">
        <f t="shared" si="1"/>
        <v>-4100685.904124104</v>
      </c>
      <c r="K13" s="7">
        <f t="shared" si="1"/>
        <v>-4926658.9505632203</v>
      </c>
      <c r="L13" s="7">
        <f t="shared" si="1"/>
        <v>-9769105.6506809145</v>
      </c>
      <c r="M13" s="7">
        <f t="shared" si="1"/>
        <v>-9183280.4102001451</v>
      </c>
      <c r="N13" s="7">
        <f t="shared" si="1"/>
        <v>-9939934.1253329664</v>
      </c>
      <c r="O13" s="7">
        <f t="shared" si="1"/>
        <v>-9046154.831287073</v>
      </c>
    </row>
    <row r="14" spans="2:15" ht="15" thickTop="1" x14ac:dyDescent="0.3"/>
    <row r="15" spans="2:15" ht="15" thickBot="1" x14ac:dyDescent="0.35">
      <c r="B15" s="1" t="s">
        <v>51</v>
      </c>
      <c r="C15" s="1"/>
      <c r="D15" s="7">
        <f t="shared" ref="D15:O15" si="2">D8+D13</f>
        <v>2526894.9902689997</v>
      </c>
      <c r="E15" s="7">
        <f t="shared" si="2"/>
        <v>3430742.9803906418</v>
      </c>
      <c r="F15" s="7">
        <f t="shared" si="2"/>
        <v>4794137.0314681958</v>
      </c>
      <c r="G15" s="7">
        <f t="shared" si="2"/>
        <v>4581593.6978748292</v>
      </c>
      <c r="H15" s="7">
        <f t="shared" si="2"/>
        <v>4165929.8705735542</v>
      </c>
      <c r="I15" s="7">
        <f t="shared" si="2"/>
        <v>3437523.2649709266</v>
      </c>
      <c r="J15" s="7">
        <f t="shared" si="2"/>
        <v>2664130.7878842517</v>
      </c>
      <c r="K15" s="7">
        <f t="shared" si="2"/>
        <v>3223091.4684354085</v>
      </c>
      <c r="L15" s="7">
        <f t="shared" si="2"/>
        <v>5117164.7984177656</v>
      </c>
      <c r="M15" s="7">
        <f t="shared" si="2"/>
        <v>4567878.700284861</v>
      </c>
      <c r="N15" s="7">
        <f t="shared" si="2"/>
        <v>4965429.6617470421</v>
      </c>
      <c r="O15" s="7">
        <f t="shared" si="2"/>
        <v>4840371.0457961541</v>
      </c>
    </row>
    <row r="16" spans="2:15" ht="15" thickTop="1" x14ac:dyDescent="0.3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2:15" x14ac:dyDescent="0.3">
      <c r="B17" t="s">
        <v>18</v>
      </c>
      <c r="D17" s="6">
        <v>-1539741.8983129349</v>
      </c>
      <c r="E17" s="6">
        <v>-1539741.8983129349</v>
      </c>
      <c r="F17" s="6">
        <v>-1539741.8983129349</v>
      </c>
      <c r="G17" s="6">
        <v>-1539741.8983129349</v>
      </c>
      <c r="H17" s="6">
        <v>-1539741.8983129349</v>
      </c>
      <c r="I17" s="6">
        <v>-1539741.8983129349</v>
      </c>
      <c r="J17" s="6">
        <v>-1539741.8983129349</v>
      </c>
      <c r="K17" s="6">
        <v>-1539741.8983129349</v>
      </c>
      <c r="L17" s="6">
        <v>-1539741.8983129349</v>
      </c>
      <c r="M17" s="6">
        <v>-1539741.8983129349</v>
      </c>
      <c r="N17" s="6">
        <v>-1539741.8983129349</v>
      </c>
      <c r="O17" s="6">
        <v>-1539741.8983129349</v>
      </c>
    </row>
    <row r="18" spans="2:15" x14ac:dyDescent="0.3">
      <c r="B18" t="s">
        <v>17</v>
      </c>
      <c r="D18" s="6">
        <v>-594389.74846967391</v>
      </c>
      <c r="E18" s="6">
        <v>-654755.05247511726</v>
      </c>
      <c r="F18" s="6">
        <v>-762497.05155056156</v>
      </c>
      <c r="G18" s="6">
        <v>-798901.16833800438</v>
      </c>
      <c r="H18" s="6">
        <v>-718701.62325885019</v>
      </c>
      <c r="I18" s="6">
        <v>-679298.93643700017</v>
      </c>
      <c r="J18" s="6">
        <v>-550659.43916571513</v>
      </c>
      <c r="K18" s="6">
        <v>-500280.19480502716</v>
      </c>
      <c r="L18" s="6">
        <v>-797141.98774690367</v>
      </c>
      <c r="M18" s="6">
        <v>-1042540.7264045499</v>
      </c>
      <c r="N18" s="6">
        <v>-931217.06986752432</v>
      </c>
      <c r="O18" s="6">
        <v>-690225.44359521649</v>
      </c>
    </row>
    <row r="19" spans="2:15" x14ac:dyDescent="0.3">
      <c r="B19" t="s">
        <v>19</v>
      </c>
      <c r="D19" s="6">
        <v>-98844.251744617504</v>
      </c>
      <c r="E19" s="6">
        <v>-98844.251744617504</v>
      </c>
      <c r="F19" s="6">
        <v>-98581.501038982533</v>
      </c>
      <c r="G19" s="6">
        <v>-98581.501038982533</v>
      </c>
      <c r="H19" s="6">
        <v>-98581.501038982533</v>
      </c>
      <c r="I19" s="6">
        <v>-98586.819221000012</v>
      </c>
      <c r="J19" s="6">
        <v>-98771.160785000029</v>
      </c>
      <c r="K19" s="6">
        <v>-98940.653834000012</v>
      </c>
      <c r="L19" s="6">
        <v>-98732.896833999999</v>
      </c>
      <c r="M19" s="6">
        <v>-98732.896833999999</v>
      </c>
      <c r="N19" s="6">
        <v>-98732.896833999999</v>
      </c>
      <c r="O19" s="6">
        <v>-98732.896833999999</v>
      </c>
    </row>
    <row r="20" spans="2:15" x14ac:dyDescent="0.3">
      <c r="B20" t="s">
        <v>22</v>
      </c>
      <c r="D20" s="6">
        <v>-17658.308619875002</v>
      </c>
      <c r="E20" s="6">
        <v>-12474.306497125002</v>
      </c>
      <c r="F20" s="6">
        <v>-15709.405800000002</v>
      </c>
      <c r="G20" s="6">
        <v>-14632.893000000002</v>
      </c>
      <c r="H20" s="6">
        <v>-16361.728900000002</v>
      </c>
      <c r="I20" s="6">
        <v>-20406.097635000009</v>
      </c>
      <c r="J20" s="6">
        <v>-16432.215030000003</v>
      </c>
      <c r="K20" s="6">
        <v>-13968.283560000003</v>
      </c>
      <c r="L20" s="6">
        <v>-16171.699005000004</v>
      </c>
      <c r="M20" s="6">
        <v>-18664.331070000004</v>
      </c>
      <c r="N20" s="6">
        <v>-14523.631815000002</v>
      </c>
      <c r="O20" s="6">
        <v>-35025.620532787507</v>
      </c>
    </row>
    <row r="21" spans="2:15" x14ac:dyDescent="0.3">
      <c r="B21" t="s">
        <v>21</v>
      </c>
      <c r="D21" s="6">
        <v>-14849.600051047786</v>
      </c>
      <c r="E21" s="6">
        <v>-10407.952020766785</v>
      </c>
      <c r="F21" s="6">
        <v>0</v>
      </c>
      <c r="G21" s="6">
        <v>-4454.3094750000009</v>
      </c>
      <c r="H21" s="6">
        <v>-8445.132641137503</v>
      </c>
      <c r="I21" s="6">
        <v>-8833.119805125003</v>
      </c>
      <c r="J21" s="6">
        <v>-11727.664571700001</v>
      </c>
      <c r="K21" s="6">
        <v>-2298.7738706625009</v>
      </c>
      <c r="L21" s="6">
        <v>0</v>
      </c>
      <c r="M21" s="6">
        <v>-12002.445040162502</v>
      </c>
      <c r="N21" s="6">
        <v>-6081.5051451000018</v>
      </c>
      <c r="O21" s="6">
        <v>-7952.3431391250033</v>
      </c>
    </row>
    <row r="22" spans="2:15" x14ac:dyDescent="0.3">
      <c r="B22" t="s">
        <v>20</v>
      </c>
      <c r="D22" s="6">
        <v>-103700.16645883126</v>
      </c>
      <c r="E22" s="6">
        <v>-44373.950162850007</v>
      </c>
      <c r="F22" s="6">
        <v>-67523.009400000024</v>
      </c>
      <c r="G22" s="6">
        <v>-26145.365400000006</v>
      </c>
      <c r="H22" s="6">
        <v>-27428.697450000003</v>
      </c>
      <c r="I22" s="6">
        <v>-63358.628025000013</v>
      </c>
      <c r="J22" s="6">
        <v>-41498.100105000005</v>
      </c>
      <c r="K22" s="6">
        <v>-39352.45429500001</v>
      </c>
      <c r="L22" s="6">
        <v>-36790.465635000008</v>
      </c>
      <c r="M22" s="6">
        <v>-38847.112920000007</v>
      </c>
      <c r="N22" s="6">
        <v>-40944.657599999999</v>
      </c>
      <c r="O22" s="6">
        <v>-42889.018095000007</v>
      </c>
    </row>
    <row r="23" spans="2:15" ht="15" thickBot="1" x14ac:dyDescent="0.35">
      <c r="B23" s="1" t="s">
        <v>23</v>
      </c>
      <c r="C23" s="1"/>
      <c r="D23" s="7">
        <f t="shared" ref="D23:O23" si="3">SUM(D17:D22)</f>
        <v>-2369183.9736569803</v>
      </c>
      <c r="E23" s="7">
        <f t="shared" si="3"/>
        <v>-2360597.4112134115</v>
      </c>
      <c r="F23" s="7">
        <f>SUM(F17:F22)</f>
        <v>-2484052.8661024785</v>
      </c>
      <c r="G23" s="7">
        <f t="shared" si="3"/>
        <v>-2482457.1355649219</v>
      </c>
      <c r="H23" s="7">
        <f t="shared" si="3"/>
        <v>-2409260.5816019052</v>
      </c>
      <c r="I23" s="7">
        <f t="shared" si="3"/>
        <v>-2410225.4994360604</v>
      </c>
      <c r="J23" s="7">
        <f t="shared" si="3"/>
        <v>-2258830.4779703505</v>
      </c>
      <c r="K23" s="7">
        <f t="shared" si="3"/>
        <v>-2194582.2586776246</v>
      </c>
      <c r="L23" s="7">
        <f t="shared" si="3"/>
        <v>-2488578.947533838</v>
      </c>
      <c r="M23" s="7">
        <f t="shared" si="3"/>
        <v>-2750529.4105816474</v>
      </c>
      <c r="N23" s="7">
        <f t="shared" si="3"/>
        <v>-2631241.659574559</v>
      </c>
      <c r="O23" s="7">
        <f t="shared" si="3"/>
        <v>-2414567.2205090639</v>
      </c>
    </row>
    <row r="24" spans="2:15" ht="15" thickTop="1" x14ac:dyDescent="0.3"/>
    <row r="25" spans="2:15" ht="15" thickBot="1" x14ac:dyDescent="0.35">
      <c r="B25" s="1" t="s">
        <v>24</v>
      </c>
      <c r="C25" s="1"/>
      <c r="D25" s="7">
        <f>D15+D23</f>
        <v>157711.01661201939</v>
      </c>
      <c r="E25" s="7">
        <f t="shared" ref="E25:O25" si="4">E15+E23</f>
        <v>1070145.5691772304</v>
      </c>
      <c r="F25" s="7">
        <f>F15+F23</f>
        <v>2310084.1653657174</v>
      </c>
      <c r="G25" s="7">
        <f t="shared" si="4"/>
        <v>2099136.5623099073</v>
      </c>
      <c r="H25" s="7">
        <f t="shared" si="4"/>
        <v>1756669.288971649</v>
      </c>
      <c r="I25" s="7">
        <f t="shared" si="4"/>
        <v>1027297.7655348661</v>
      </c>
      <c r="J25" s="7">
        <f t="shared" si="4"/>
        <v>405300.30991390115</v>
      </c>
      <c r="K25" s="7">
        <f t="shared" si="4"/>
        <v>1028509.2097577839</v>
      </c>
      <c r="L25" s="7">
        <f t="shared" si="4"/>
        <v>2628585.8508839277</v>
      </c>
      <c r="M25" s="7">
        <f t="shared" si="4"/>
        <v>1817349.2897032136</v>
      </c>
      <c r="N25" s="7">
        <f t="shared" si="4"/>
        <v>2334188.0021724831</v>
      </c>
      <c r="O25" s="7">
        <f t="shared" si="4"/>
        <v>2425803.8252870901</v>
      </c>
    </row>
    <row r="26" spans="2:15" ht="15" thickTop="1" x14ac:dyDescent="0.3"/>
  </sheetData>
  <phoneticPr fontId="3" type="noConversion"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D18-C0AA-42FB-80C2-E84F84787C68}">
  <sheetPr>
    <tabColor rgb="FF92D050"/>
  </sheetPr>
  <dimension ref="A1:V60"/>
  <sheetViews>
    <sheetView topLeftCell="F1" workbookViewId="0">
      <pane ySplit="1" topLeftCell="A30" activePane="bottomLeft" state="frozen"/>
      <selection pane="bottomLeft"/>
    </sheetView>
  </sheetViews>
  <sheetFormatPr defaultColWidth="11.5546875" defaultRowHeight="14.4" x14ac:dyDescent="0.3"/>
  <cols>
    <col min="6" max="17" width="12.21875" bestFit="1" customWidth="1"/>
  </cols>
  <sheetData>
    <row r="1" spans="1:22" s="2" customFormat="1" x14ac:dyDescent="0.3">
      <c r="A1" s="2" t="s">
        <v>0</v>
      </c>
      <c r="B1" s="2" t="s">
        <v>28</v>
      </c>
      <c r="C1" s="2" t="s">
        <v>85</v>
      </c>
      <c r="D1" s="2" t="s">
        <v>86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</row>
    <row r="2" spans="1:22" ht="14.55" customHeight="1" x14ac:dyDescent="0.3">
      <c r="A2" s="4">
        <v>2003100005</v>
      </c>
      <c r="B2" s="4" t="str">
        <f>_xlfn.XLOOKUP(Actuals[[#This Row],[Account]],Accounts[Account],Accounts[Name])</f>
        <v>Revenue (DE)</v>
      </c>
      <c r="C2" t="s">
        <v>87</v>
      </c>
      <c r="E2">
        <v>15253265.183500798</v>
      </c>
      <c r="F2">
        <v>21088785.627172202</v>
      </c>
      <c r="G2">
        <v>28741335.630000003</v>
      </c>
      <c r="H2">
        <v>26580932.569999997</v>
      </c>
      <c r="I2">
        <v>23988357.32</v>
      </c>
      <c r="J2">
        <v>19024409.09</v>
      </c>
      <c r="K2">
        <v>14219294.350000001</v>
      </c>
      <c r="L2">
        <v>17479568.300000001</v>
      </c>
      <c r="M2">
        <v>30454508.600000001</v>
      </c>
      <c r="N2">
        <v>27409176.349999998</v>
      </c>
      <c r="O2">
        <v>29731107.890000001</v>
      </c>
      <c r="P2">
        <v>28260518.369999997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ht="14.55" customHeight="1" x14ac:dyDescent="0.3">
      <c r="A3" s="4">
        <v>2003100006</v>
      </c>
      <c r="B3" s="4" t="str">
        <f>_xlfn.XLOOKUP(Actuals[[#This Row],[Account]],Accounts[Account],Accounts[Name])</f>
        <v>Revenue (PL)</v>
      </c>
      <c r="C3" t="s">
        <v>87</v>
      </c>
      <c r="E3">
        <v>1147673.5472020002</v>
      </c>
      <c r="F3">
        <v>1358569.75037</v>
      </c>
      <c r="G3">
        <v>1865549.31</v>
      </c>
      <c r="H3">
        <v>1798306.99</v>
      </c>
      <c r="I3">
        <v>1442012.0299999998</v>
      </c>
      <c r="J3">
        <v>1276426.21</v>
      </c>
      <c r="K3">
        <v>924149.82000000007</v>
      </c>
      <c r="L3">
        <v>1275012.28</v>
      </c>
      <c r="M3">
        <v>1870121.79</v>
      </c>
      <c r="N3">
        <v>1872141.15</v>
      </c>
      <c r="O3">
        <v>2161137.13</v>
      </c>
      <c r="P3">
        <v>1688403.08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ht="14.55" customHeight="1" x14ac:dyDescent="0.3">
      <c r="A4" s="4">
        <v>2003100007</v>
      </c>
      <c r="B4" s="4" t="str">
        <f>_xlfn.XLOOKUP(Actuals[[#This Row],[Account]],Accounts[Account],Accounts[Name])</f>
        <v>Revenue (NL)</v>
      </c>
      <c r="C4" t="s">
        <v>87</v>
      </c>
      <c r="E4">
        <v>1501984.7344124001</v>
      </c>
      <c r="F4">
        <v>1151264.0289695999</v>
      </c>
      <c r="G4">
        <v>1470333.47</v>
      </c>
      <c r="H4">
        <v>1628563.6500000001</v>
      </c>
      <c r="I4">
        <v>1562604.23</v>
      </c>
      <c r="J4">
        <v>1485195.23</v>
      </c>
      <c r="K4">
        <v>1131820.5599999998</v>
      </c>
      <c r="L4">
        <v>821780.29</v>
      </c>
      <c r="M4">
        <v>1303688.0299999998</v>
      </c>
      <c r="N4">
        <v>1535434.2</v>
      </c>
      <c r="O4">
        <v>1544790.7000000002</v>
      </c>
      <c r="P4">
        <v>1497762.41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ht="14.55" customHeight="1" x14ac:dyDescent="0.3">
      <c r="A5" s="4">
        <v>2211200001</v>
      </c>
      <c r="B5" s="4" t="str">
        <f>_xlfn.XLOOKUP(Actuals[[#This Row],[Account]],Accounts[Account],Accounts[Name])</f>
        <v>COGS (DE)</v>
      </c>
      <c r="C5" t="s">
        <v>88</v>
      </c>
      <c r="E5">
        <v>9336788.7345072292</v>
      </c>
      <c r="F5">
        <v>12888477.307886399</v>
      </c>
      <c r="G5">
        <v>17560389.519540399</v>
      </c>
      <c r="H5">
        <v>16154015.0347334</v>
      </c>
      <c r="I5">
        <v>14572287.713533901</v>
      </c>
      <c r="J5">
        <v>11649164.578395</v>
      </c>
      <c r="K5">
        <v>8686540.3381481897</v>
      </c>
      <c r="L5">
        <v>10685746.351340899</v>
      </c>
      <c r="M5">
        <v>18480801.116032299</v>
      </c>
      <c r="N5">
        <v>16614971.9790882</v>
      </c>
      <c r="O5">
        <v>18080349.897248201</v>
      </c>
      <c r="P5">
        <v>17253623.790924098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ht="14.55" customHeight="1" x14ac:dyDescent="0.3">
      <c r="A6" s="4">
        <v>2211200002</v>
      </c>
      <c r="B6" s="4" t="str">
        <f>_xlfn.XLOOKUP(Actuals[[#This Row],[Account]],Accounts[Account],Accounts[Name])</f>
        <v>COGS (PL)</v>
      </c>
      <c r="C6" t="s">
        <v>88</v>
      </c>
      <c r="E6">
        <v>723645.014940041</v>
      </c>
      <c r="F6">
        <v>851880.08741245605</v>
      </c>
      <c r="G6">
        <v>1172064.43630361</v>
      </c>
      <c r="H6">
        <v>1119928.4824158801</v>
      </c>
      <c r="I6">
        <v>903671.53664551198</v>
      </c>
      <c r="J6">
        <v>811095.82859009795</v>
      </c>
      <c r="K6">
        <v>590189.53394671704</v>
      </c>
      <c r="L6">
        <v>805823.524102828</v>
      </c>
      <c r="M6">
        <v>1178510.99154193</v>
      </c>
      <c r="N6">
        <v>1166665.5965778399</v>
      </c>
      <c r="O6">
        <v>1349251.9580933701</v>
      </c>
      <c r="P6">
        <v>1055502.7897308101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ht="14.55" customHeight="1" x14ac:dyDescent="0.3">
      <c r="A7" s="4">
        <v>2211200003</v>
      </c>
      <c r="B7" s="4" t="str">
        <f>_xlfn.XLOOKUP(Actuals[[#This Row],[Account]],Accounts[Account],Accounts[Name])</f>
        <v>COGS (NL)</v>
      </c>
      <c r="C7" t="s">
        <v>88</v>
      </c>
      <c r="E7">
        <v>927479.00660414703</v>
      </c>
      <c r="F7">
        <v>704715.47410218394</v>
      </c>
      <c r="G7">
        <v>891741.66147497704</v>
      </c>
      <c r="H7">
        <v>997120.07745444297</v>
      </c>
      <c r="I7">
        <v>960150.55309049506</v>
      </c>
      <c r="J7">
        <v>920083.11247849604</v>
      </c>
      <c r="K7">
        <v>707533.22756387503</v>
      </c>
      <c r="L7">
        <v>510035.973741455</v>
      </c>
      <c r="M7">
        <v>798532.14245699195</v>
      </c>
      <c r="N7">
        <v>934751.90993476601</v>
      </c>
      <c r="O7">
        <v>940569.68295495701</v>
      </c>
      <c r="P7">
        <v>919269.08173384296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ht="14.55" customHeight="1" x14ac:dyDescent="0.3">
      <c r="A8" s="4">
        <v>2201201000</v>
      </c>
      <c r="B8" s="4" t="str">
        <f>_xlfn.XLOOKUP(Actuals[[#This Row],[Account]],Accounts[Account],Accounts[Name])</f>
        <v>COGS (Others)</v>
      </c>
      <c r="C8" t="s">
        <v>88</v>
      </c>
      <c r="E8">
        <v>11398.766246217199</v>
      </c>
      <c r="F8">
        <v>8839.5312757342399</v>
      </c>
      <c r="G8">
        <v>11413.751431754799</v>
      </c>
      <c r="H8">
        <v>12483.943369729601</v>
      </c>
      <c r="I8">
        <v>11682.298274725899</v>
      </c>
      <c r="J8">
        <v>11405.3867012186</v>
      </c>
      <c r="K8">
        <v>8858.3160090997208</v>
      </c>
      <c r="L8">
        <v>6168.2206145791097</v>
      </c>
      <c r="M8">
        <v>9898.6360629322207</v>
      </c>
      <c r="N8">
        <v>11587.221695429</v>
      </c>
      <c r="O8">
        <v>11659.3390401941</v>
      </c>
      <c r="P8">
        <v>11282.4712315535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ht="14.55" customHeight="1" x14ac:dyDescent="0.3">
      <c r="A9" s="4">
        <v>2690200007</v>
      </c>
      <c r="B9" s="4" t="str">
        <f>_xlfn.XLOOKUP(Actuals[[#This Row],[Account]],Accounts[Account],Accounts[Name])</f>
        <v>Payment (PayPal)</v>
      </c>
      <c r="C9" t="s">
        <v>90</v>
      </c>
      <c r="D9" t="s">
        <v>25</v>
      </c>
      <c r="E9">
        <v>317875.15393591102</v>
      </c>
      <c r="F9">
        <v>409768.75901953498</v>
      </c>
      <c r="G9">
        <v>568307.73912892095</v>
      </c>
      <c r="H9">
        <v>511261.69768567401</v>
      </c>
      <c r="I9">
        <v>467668.52780748898</v>
      </c>
      <c r="J9">
        <v>381856.68402023398</v>
      </c>
      <c r="K9">
        <v>285451.896518011</v>
      </c>
      <c r="L9">
        <v>344870.89313454001</v>
      </c>
      <c r="M9">
        <v>596806.46392798994</v>
      </c>
      <c r="N9">
        <v>546218.248391186</v>
      </c>
      <c r="O9">
        <v>589848.29245393898</v>
      </c>
      <c r="P9">
        <v>565735.576113755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ht="14.55" customHeight="1" x14ac:dyDescent="0.3">
      <c r="A10" s="4">
        <v>2690200010</v>
      </c>
      <c r="B10" s="4" t="str">
        <f>_xlfn.XLOOKUP(Actuals[[#This Row],[Account]],Accounts[Account],Accounts[Name])</f>
        <v>Payment (Credit Card)</v>
      </c>
      <c r="C10" t="s">
        <v>90</v>
      </c>
      <c r="D10" t="s">
        <v>25</v>
      </c>
      <c r="E10">
        <v>67059.1671867939</v>
      </c>
      <c r="F10">
        <v>87119.241687380898</v>
      </c>
      <c r="G10">
        <v>123829.24404732299</v>
      </c>
      <c r="H10">
        <v>118127.484623818</v>
      </c>
      <c r="I10">
        <v>111368.195208679</v>
      </c>
      <c r="J10">
        <v>89145.294525000005</v>
      </c>
      <c r="K10">
        <v>65228.702607886698</v>
      </c>
      <c r="L10">
        <v>72627.0591959741</v>
      </c>
      <c r="M10">
        <v>113058.288</v>
      </c>
      <c r="N10">
        <v>120163.845839531</v>
      </c>
      <c r="O10">
        <v>120876.87312739799</v>
      </c>
      <c r="P10">
        <v>106978.35630501001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ht="14.55" customHeight="1" x14ac:dyDescent="0.3">
      <c r="A11" s="4">
        <v>2532300000</v>
      </c>
      <c r="B11" s="4" t="str">
        <f>_xlfn.XLOOKUP(Actuals[[#This Row],[Account]],Accounts[Account],Accounts[Name])</f>
        <v>Warehouse</v>
      </c>
      <c r="C11" t="s">
        <v>90</v>
      </c>
      <c r="D11" t="s">
        <v>26</v>
      </c>
      <c r="E11">
        <v>1470207.5748717899</v>
      </c>
      <c r="F11">
        <v>1932725.4307341301</v>
      </c>
      <c r="G11">
        <v>2446516.2337589501</v>
      </c>
      <c r="H11">
        <v>2307060.6568676499</v>
      </c>
      <c r="I11">
        <v>2092614.7626787601</v>
      </c>
      <c r="J11">
        <v>1618297.10310702</v>
      </c>
      <c r="K11">
        <v>1227654.36234871</v>
      </c>
      <c r="L11">
        <v>1435278.96860793</v>
      </c>
      <c r="M11">
        <v>2829668.0311388802</v>
      </c>
      <c r="N11">
        <v>2625300.94094127</v>
      </c>
      <c r="O11">
        <v>2833429.9650960402</v>
      </c>
      <c r="P11">
        <v>2614443.6068102401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ht="14.55" customHeight="1" x14ac:dyDescent="0.3">
      <c r="A12" s="4">
        <v>2530200000</v>
      </c>
      <c r="B12" s="4" t="str">
        <f>_xlfn.XLOOKUP(Actuals[[#This Row],[Account]],Accounts[Account],Accounts[Name])</f>
        <v>Distribution (Different Carriers)</v>
      </c>
      <c r="C12" t="s">
        <v>90</v>
      </c>
      <c r="D12" t="s">
        <v>27</v>
      </c>
      <c r="E12">
        <v>2543367.9942725501</v>
      </c>
      <c r="F12">
        <v>3367126.0614075302</v>
      </c>
      <c r="G12">
        <v>4541273.1791658998</v>
      </c>
      <c r="H12">
        <v>4159371.2398202601</v>
      </c>
      <c r="I12">
        <v>3748647.25427143</v>
      </c>
      <c r="J12">
        <v>2917515.7526559499</v>
      </c>
      <c r="K12">
        <v>2140880.4458391899</v>
      </c>
      <c r="L12">
        <v>2608054.5929596401</v>
      </c>
      <c r="M12">
        <v>4996800.53373829</v>
      </c>
      <c r="N12">
        <v>4648491.5434395801</v>
      </c>
      <c r="O12">
        <v>4971882.11491</v>
      </c>
      <c r="P12">
        <v>4596069.27116217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ht="14.55" customHeight="1" x14ac:dyDescent="0.3">
      <c r="A13" s="4">
        <v>2530300000</v>
      </c>
      <c r="B13" s="4" t="str">
        <f>_xlfn.XLOOKUP(Actuals[[#This Row],[Account]],Accounts[Account],Accounts[Name])</f>
        <v>Distribution (Package Material)</v>
      </c>
      <c r="C13" t="s">
        <v>90</v>
      </c>
      <c r="D13" t="s">
        <v>27</v>
      </c>
      <c r="E13">
        <v>154319.04551857401</v>
      </c>
      <c r="F13">
        <v>138813.11712648001</v>
      </c>
      <c r="G13">
        <v>181299.37930454299</v>
      </c>
      <c r="H13">
        <v>177292.37985036799</v>
      </c>
      <c r="I13">
        <v>165542.042244874</v>
      </c>
      <c r="J13">
        <v>180245.457210775</v>
      </c>
      <c r="K13">
        <v>147634.988281767</v>
      </c>
      <c r="L13">
        <v>106385.891619228</v>
      </c>
      <c r="M13">
        <v>134150.11548119999</v>
      </c>
      <c r="N13">
        <v>155344.32453843</v>
      </c>
      <c r="O13">
        <v>184420.57522695701</v>
      </c>
      <c r="P13">
        <v>175151.39560348599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ht="14.55" customHeight="1" x14ac:dyDescent="0.3">
      <c r="A14" s="4">
        <v>2400210100</v>
      </c>
      <c r="B14" s="4" t="str">
        <f>_xlfn.XLOOKUP(Actuals[[#This Row],[Account]],Accounts[Account],Accounts[Name])</f>
        <v>Labour (Salaries)</v>
      </c>
      <c r="C14" t="s">
        <v>91</v>
      </c>
      <c r="D14" t="s">
        <v>18</v>
      </c>
      <c r="E14">
        <v>1523819.5431297999</v>
      </c>
      <c r="F14">
        <v>1531111.15752745</v>
      </c>
      <c r="G14">
        <v>1521637.4677494401</v>
      </c>
      <c r="H14">
        <v>1512990.64294206</v>
      </c>
      <c r="I14">
        <v>1508750.0401583901</v>
      </c>
      <c r="J14">
        <v>1508440.16846768</v>
      </c>
      <c r="K14">
        <v>1507887.83832446</v>
      </c>
      <c r="L14">
        <v>1511575.28852341</v>
      </c>
      <c r="M14">
        <v>1540696.4491838899</v>
      </c>
      <c r="N14">
        <v>1547838.7569218599</v>
      </c>
      <c r="O14">
        <v>1548569.43552806</v>
      </c>
      <c r="P14">
        <v>1550788.67548799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ht="14.55" customHeight="1" x14ac:dyDescent="0.3">
      <c r="A15" s="4">
        <v>2400210200</v>
      </c>
      <c r="B15" s="4" t="str">
        <f>_xlfn.XLOOKUP(Actuals[[#This Row],[Account]],Accounts[Account],Accounts[Name])</f>
        <v>Labour (Bonuses)</v>
      </c>
      <c r="C15" t="s">
        <v>91</v>
      </c>
      <c r="D15" t="s">
        <v>18</v>
      </c>
      <c r="E15">
        <v>407.01102750000001</v>
      </c>
      <c r="F15">
        <v>429.9827298921</v>
      </c>
      <c r="G15">
        <v>15309.256958587501</v>
      </c>
      <c r="H15">
        <v>582.63859500000001</v>
      </c>
      <c r="I15">
        <v>637.25738999999999</v>
      </c>
      <c r="J15">
        <v>9051.0419999999995</v>
      </c>
      <c r="K15">
        <v>379.34589</v>
      </c>
      <c r="L15">
        <v>890.07291450000002</v>
      </c>
      <c r="M15">
        <v>26666.753189999999</v>
      </c>
      <c r="N15">
        <v>527.99438999999995</v>
      </c>
      <c r="O15">
        <v>441.87990000000002</v>
      </c>
      <c r="P15">
        <v>89019.466333874996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ht="14.55" customHeight="1" x14ac:dyDescent="0.3">
      <c r="A16" s="4">
        <v>2400210120</v>
      </c>
      <c r="B16" s="4" t="str">
        <f>_xlfn.XLOOKUP(Actuals[[#This Row],[Account]],Accounts[Account],Accounts[Name])</f>
        <v>Labour (Social Contributions)</v>
      </c>
      <c r="C16" t="s">
        <v>91</v>
      </c>
      <c r="D16" t="s">
        <v>18</v>
      </c>
      <c r="E16">
        <v>30909.524543259598</v>
      </c>
      <c r="F16">
        <v>31057.429415066901</v>
      </c>
      <c r="G16">
        <v>30865.262797944299</v>
      </c>
      <c r="H16">
        <v>30689.8685100775</v>
      </c>
      <c r="I16">
        <v>30603.851096525301</v>
      </c>
      <c r="J16">
        <v>30597.565584128199</v>
      </c>
      <c r="K16">
        <v>30586.361985779102</v>
      </c>
      <c r="L16">
        <v>30661.159118379401</v>
      </c>
      <c r="M16">
        <v>31251.859791711398</v>
      </c>
      <c r="N16">
        <v>31396.7360910854</v>
      </c>
      <c r="O16">
        <v>31411.557352837401</v>
      </c>
      <c r="P16">
        <v>31456.572953482701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ht="14.55" customHeight="1" x14ac:dyDescent="0.3">
      <c r="A17" s="4">
        <v>2546100100</v>
      </c>
      <c r="B17" s="4" t="str">
        <f>_xlfn.XLOOKUP(Actuals[[#This Row],[Account]],Accounts[Account],Accounts[Name])</f>
        <v>Marketing (Google)</v>
      </c>
      <c r="C17" t="s">
        <v>91</v>
      </c>
      <c r="D17" t="s">
        <v>17</v>
      </c>
      <c r="E17">
        <v>358802.71282625</v>
      </c>
      <c r="F17">
        <v>376107.33455077797</v>
      </c>
      <c r="G17">
        <v>445681.77704020799</v>
      </c>
      <c r="H17">
        <v>475436.64132128202</v>
      </c>
      <c r="I17">
        <v>384962.224185</v>
      </c>
      <c r="J17">
        <v>366630.68969999999</v>
      </c>
      <c r="K17">
        <v>268498.33129350003</v>
      </c>
      <c r="L17">
        <v>227638.34806683401</v>
      </c>
      <c r="M17">
        <v>413490.11320278002</v>
      </c>
      <c r="N17">
        <v>381830.94645313802</v>
      </c>
      <c r="O17">
        <v>394643.55968815699</v>
      </c>
      <c r="P17">
        <v>372706.14279112499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ht="14.55" customHeight="1" x14ac:dyDescent="0.3">
      <c r="A18" s="4">
        <v>2544601400</v>
      </c>
      <c r="B18" s="4" t="str">
        <f>_xlfn.XLOOKUP(Actuals[[#This Row],[Account]],Accounts[Account],Accounts[Name])</f>
        <v>Marketing (Meta)</v>
      </c>
      <c r="C18" t="s">
        <v>91</v>
      </c>
      <c r="D18" t="s">
        <v>17</v>
      </c>
      <c r="E18">
        <v>109605.296431125</v>
      </c>
      <c r="F18">
        <v>118609.1047765</v>
      </c>
      <c r="G18">
        <v>123117.266958956</v>
      </c>
      <c r="H18">
        <v>116028.828833616</v>
      </c>
      <c r="I18">
        <v>97509.604500000001</v>
      </c>
      <c r="J18">
        <v>92866.29</v>
      </c>
      <c r="K18">
        <v>84998.736900000004</v>
      </c>
      <c r="L18">
        <v>96952.952550162503</v>
      </c>
      <c r="M18">
        <v>156020.26752300499</v>
      </c>
      <c r="N18">
        <v>168444.87350459999</v>
      </c>
      <c r="O18">
        <v>176087.596137602</v>
      </c>
      <c r="P18">
        <v>142666.1760865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ht="14.55" customHeight="1" x14ac:dyDescent="0.3">
      <c r="A19" s="4">
        <v>2544600140</v>
      </c>
      <c r="B19" s="4" t="str">
        <f>_xlfn.XLOOKUP(Actuals[[#This Row],[Account]],Accounts[Account],Accounts[Name])</f>
        <v>Marketing (Flyers)</v>
      </c>
      <c r="C19" t="s">
        <v>91</v>
      </c>
      <c r="D19" t="s">
        <v>17</v>
      </c>
      <c r="E19">
        <v>77705.212594625002</v>
      </c>
      <c r="F19">
        <v>102457.957505488</v>
      </c>
      <c r="G19">
        <v>122105.30944693901</v>
      </c>
      <c r="H19">
        <v>131622.64395240601</v>
      </c>
      <c r="I19">
        <v>165518.77072500001</v>
      </c>
      <c r="J19">
        <v>157636.92449999999</v>
      </c>
      <c r="K19">
        <v>149852.46899699999</v>
      </c>
      <c r="L19">
        <v>136552.84107616299</v>
      </c>
      <c r="M19">
        <v>133810.2579</v>
      </c>
      <c r="N19">
        <v>374669.91324551299</v>
      </c>
      <c r="O19">
        <v>263362.75371374498</v>
      </c>
      <c r="P19">
        <v>108238.571646975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ht="14.55" customHeight="1" x14ac:dyDescent="0.3">
      <c r="A20" s="4">
        <v>2544600120</v>
      </c>
      <c r="B20" s="4" t="str">
        <f>_xlfn.XLOOKUP(Actuals[[#This Row],[Account]],Accounts[Account],Accounts[Name])</f>
        <v>Marketing (TV)</v>
      </c>
      <c r="C20" t="s">
        <v>91</v>
      </c>
      <c r="D20" t="s">
        <v>17</v>
      </c>
      <c r="E20">
        <v>5524.3312451250004</v>
      </c>
      <c r="F20">
        <v>9752.1445438394603</v>
      </c>
      <c r="G20">
        <v>15468.5334235805</v>
      </c>
      <c r="H20">
        <v>12906.1350466856</v>
      </c>
      <c r="I20">
        <v>11954.921</v>
      </c>
      <c r="J20">
        <v>7698.02</v>
      </c>
      <c r="K20">
        <v>6521.4226247500001</v>
      </c>
      <c r="L20">
        <v>3642.6022710000002</v>
      </c>
      <c r="M20">
        <v>16643.804933507599</v>
      </c>
      <c r="N20">
        <v>21757.433195987502</v>
      </c>
      <c r="O20">
        <v>19240.915793935499</v>
      </c>
      <c r="P20">
        <v>10923.12662375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ht="14.55" customHeight="1" x14ac:dyDescent="0.3">
      <c r="A21" s="4">
        <v>2544600170</v>
      </c>
      <c r="B21" s="4" t="str">
        <f>_xlfn.XLOOKUP(Actuals[[#This Row],[Account]],Accounts[Account],Accounts[Name])</f>
        <v>Marketing (Print)</v>
      </c>
      <c r="C21" t="s">
        <v>91</v>
      </c>
      <c r="D21" t="s">
        <v>17</v>
      </c>
      <c r="E21">
        <v>3866.8847249999999</v>
      </c>
      <c r="F21">
        <v>4994.0684132233</v>
      </c>
      <c r="G21">
        <v>6241.18</v>
      </c>
      <c r="H21">
        <v>10642.356769379199</v>
      </c>
      <c r="I21">
        <v>11738.239645</v>
      </c>
      <c r="J21">
        <v>10026.894899999999</v>
      </c>
      <c r="K21">
        <v>4764.0300592499998</v>
      </c>
      <c r="L21">
        <v>2764.8399657724999</v>
      </c>
      <c r="M21">
        <v>25028.068353701899</v>
      </c>
      <c r="N21">
        <v>27633.961081649999</v>
      </c>
      <c r="O21">
        <v>16961.5016455552</v>
      </c>
      <c r="P21">
        <v>10536.4908845625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ht="14.55" customHeight="1" x14ac:dyDescent="0.3">
      <c r="A22" s="4">
        <v>2561400000</v>
      </c>
      <c r="B22" s="4" t="str">
        <f>_xlfn.XLOOKUP(Actuals[[#This Row],[Account]],Accounts[Account],Accounts[Name])</f>
        <v>Rent</v>
      </c>
      <c r="C22" t="s">
        <v>91</v>
      </c>
      <c r="D22" t="s">
        <v>19</v>
      </c>
      <c r="E22">
        <v>97865.595786749996</v>
      </c>
      <c r="F22">
        <v>97865.595786749996</v>
      </c>
      <c r="G22">
        <v>97605.446573249996</v>
      </c>
      <c r="H22">
        <v>97605.446573249996</v>
      </c>
      <c r="I22">
        <v>97605.446573249996</v>
      </c>
      <c r="J22">
        <v>97610.712100000004</v>
      </c>
      <c r="K22">
        <v>97793.228499999997</v>
      </c>
      <c r="L22">
        <v>97961.043399999995</v>
      </c>
      <c r="M22">
        <v>97755.343399999998</v>
      </c>
      <c r="N22">
        <v>97755.343399999998</v>
      </c>
      <c r="O22">
        <v>97755.343399999998</v>
      </c>
      <c r="P22">
        <v>97755.343399999998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ht="14.55" customHeight="1" x14ac:dyDescent="0.3">
      <c r="A23" s="4">
        <v>2627300000</v>
      </c>
      <c r="B23" s="4" t="str">
        <f>_xlfn.XLOOKUP(Actuals[[#This Row],[Account]],Accounts[Account],Accounts[Name])</f>
        <v>Consulting (BCG, KPMG, etc.)</v>
      </c>
      <c r="C23" t="s">
        <v>91</v>
      </c>
      <c r="D23" t="s">
        <v>22</v>
      </c>
      <c r="E23">
        <v>11832.96627975</v>
      </c>
      <c r="F23">
        <v>10668.46724075</v>
      </c>
      <c r="G23">
        <v>18729.5658</v>
      </c>
      <c r="H23">
        <v>13879.425999999999</v>
      </c>
      <c r="I23">
        <v>6075.5309999999999</v>
      </c>
      <c r="J23">
        <v>16220.1589</v>
      </c>
      <c r="K23">
        <v>11514.541499999999</v>
      </c>
      <c r="L23">
        <v>11156.683999999999</v>
      </c>
      <c r="M23">
        <v>13266.5368</v>
      </c>
      <c r="N23">
        <v>6528.4340000000002</v>
      </c>
      <c r="O23">
        <v>12028.489</v>
      </c>
      <c r="P23">
        <v>31238.46724075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ht="14.55" customHeight="1" x14ac:dyDescent="0.3">
      <c r="A24" s="4">
        <v>2627100000</v>
      </c>
      <c r="B24" s="4" t="str">
        <f>_xlfn.XLOOKUP(Actuals[[#This Row],[Account]],Accounts[Account],Accounts[Name])</f>
        <v>Consulting (for different IT-Tools)</v>
      </c>
      <c r="C24" t="s">
        <v>91</v>
      </c>
      <c r="D24" t="s">
        <v>22</v>
      </c>
      <c r="E24">
        <v>5825.3423401250002</v>
      </c>
      <c r="F24">
        <v>1805.8392563750001</v>
      </c>
      <c r="G24">
        <v>9079.84</v>
      </c>
      <c r="H24">
        <v>10433.467000000001</v>
      </c>
      <c r="I24">
        <v>10286.197899999999</v>
      </c>
      <c r="J24">
        <v>3214.2197999999999</v>
      </c>
      <c r="K24">
        <v>4135.1871000000001</v>
      </c>
      <c r="L24">
        <v>2146.4432000000002</v>
      </c>
      <c r="M24">
        <v>2135.0812999999998</v>
      </c>
      <c r="N24">
        <v>11247.1194</v>
      </c>
      <c r="O24">
        <v>1803.5413000000001</v>
      </c>
      <c r="P24">
        <v>2119.2665999999999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ht="14.55" customHeight="1" x14ac:dyDescent="0.3">
      <c r="A25" s="4">
        <v>2601100200</v>
      </c>
      <c r="B25" s="4" t="str">
        <f>_xlfn.XLOOKUP(Actuals[[#This Row],[Account]],Accounts[Account],Accounts[Name])</f>
        <v>Travel</v>
      </c>
      <c r="C25" t="s">
        <v>91</v>
      </c>
      <c r="D25" t="s">
        <v>21</v>
      </c>
      <c r="E25">
        <v>12827.642847249999</v>
      </c>
      <c r="F25">
        <v>8990.7802792500006</v>
      </c>
      <c r="G25">
        <v>0</v>
      </c>
      <c r="H25">
        <v>3847.8</v>
      </c>
      <c r="I25">
        <v>7295.2231000000002</v>
      </c>
      <c r="J25">
        <v>7630.3810000000003</v>
      </c>
      <c r="K25">
        <v>10130.7976</v>
      </c>
      <c r="L25">
        <v>1985.7673</v>
      </c>
      <c r="M25">
        <v>0</v>
      </c>
      <c r="N25">
        <v>10368.1633</v>
      </c>
      <c r="O25">
        <v>5253.4327999999996</v>
      </c>
      <c r="P25">
        <v>6869.5330000000004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ht="14.55" customHeight="1" x14ac:dyDescent="0.3">
      <c r="A26" s="4">
        <v>2633100000</v>
      </c>
      <c r="B26" s="4" t="str">
        <f>_xlfn.XLOOKUP(Actuals[[#This Row],[Account]],Accounts[Account],Accounts[Name])</f>
        <v>Insurance (Cyber Security)</v>
      </c>
      <c r="C26" t="s">
        <v>91</v>
      </c>
      <c r="D26" t="s">
        <v>20</v>
      </c>
      <c r="E26">
        <v>71770.089737500006</v>
      </c>
      <c r="F26">
        <v>13956.64980325</v>
      </c>
      <c r="G26">
        <v>0</v>
      </c>
      <c r="H26">
        <v>0</v>
      </c>
      <c r="I26">
        <v>0</v>
      </c>
      <c r="J26">
        <v>33073.329299999998</v>
      </c>
      <c r="K26">
        <v>8268.3292999999994</v>
      </c>
      <c r="L26">
        <v>8268.3292999999994</v>
      </c>
      <c r="M26">
        <v>8268.3292999999994</v>
      </c>
      <c r="N26">
        <v>8268.3292999999994</v>
      </c>
      <c r="O26">
        <v>8268.3292999999994</v>
      </c>
      <c r="P26">
        <v>8268.3292999999994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ht="14.55" customHeight="1" x14ac:dyDescent="0.3">
      <c r="A27" s="4">
        <v>2633600000</v>
      </c>
      <c r="B27" s="4" t="str">
        <f>_xlfn.XLOOKUP(Actuals[[#This Row],[Account]],Accounts[Account],Accounts[Name])</f>
        <v>Insurance (Legal Protection)</v>
      </c>
      <c r="C27" t="s">
        <v>91</v>
      </c>
      <c r="D27" t="s">
        <v>20</v>
      </c>
      <c r="E27">
        <v>26991.973556624998</v>
      </c>
      <c r="F27">
        <v>28304.255113750001</v>
      </c>
      <c r="G27">
        <v>27343.58</v>
      </c>
      <c r="H27">
        <v>24900.348000000002</v>
      </c>
      <c r="I27">
        <v>26122.569</v>
      </c>
      <c r="J27">
        <v>27268.2212</v>
      </c>
      <c r="K27">
        <v>31253.6708</v>
      </c>
      <c r="L27">
        <v>29210.1986</v>
      </c>
      <c r="M27">
        <v>26770.2094</v>
      </c>
      <c r="N27">
        <v>28728.9211</v>
      </c>
      <c r="O27">
        <v>30726.582699999999</v>
      </c>
      <c r="P27">
        <v>30158.354599999999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ht="14.55" customHeight="1" x14ac:dyDescent="0.3">
      <c r="A28" s="4">
        <v>2616100000</v>
      </c>
      <c r="B28" s="4" t="str">
        <f>_xlfn.XLOOKUP(Actuals[[#This Row],[Account]],Accounts[Account],Accounts[Name])</f>
        <v>Insurance (Others)</v>
      </c>
      <c r="C28" t="s">
        <v>91</v>
      </c>
      <c r="D28" t="s">
        <v>20</v>
      </c>
      <c r="E28">
        <v>0</v>
      </c>
      <c r="F28">
        <v>0</v>
      </c>
      <c r="G28">
        <v>36964.048000000003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ht="14.55" customHeight="1" x14ac:dyDescent="0.3">
      <c r="A29" s="4">
        <v>2003100005</v>
      </c>
      <c r="B29" s="4" t="str">
        <f>_xlfn.XLOOKUP(Actuals[[#This Row],[Account]],Accounts[Account],Accounts[Name])</f>
        <v>Revenue (DE)</v>
      </c>
      <c r="C29" t="s">
        <v>87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15587141.759999998</v>
      </c>
      <c r="R29">
        <v>21550395.090000004</v>
      </c>
      <c r="S29">
        <v>25921509.449999996</v>
      </c>
      <c r="T29">
        <v>19150184.419999998</v>
      </c>
      <c r="U29">
        <v>20358143.84</v>
      </c>
      <c r="V29">
        <v>18521907.539999999</v>
      </c>
    </row>
    <row r="30" spans="1:22" ht="14.55" customHeight="1" x14ac:dyDescent="0.3">
      <c r="A30" s="4">
        <v>2003100006</v>
      </c>
      <c r="B30" s="4" t="str">
        <f>_xlfn.XLOOKUP(Actuals[[#This Row],[Account]],Accounts[Account],Accounts[Name])</f>
        <v>Revenue (PL)</v>
      </c>
      <c r="C30" t="s">
        <v>87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1162130.4500000002</v>
      </c>
      <c r="R30">
        <v>1375683.25</v>
      </c>
      <c r="S30">
        <v>1741665.93</v>
      </c>
      <c r="T30">
        <v>1276638.8700000001</v>
      </c>
      <c r="U30">
        <v>1297552.5299999998</v>
      </c>
      <c r="V30">
        <v>1173863.2000000002</v>
      </c>
    </row>
    <row r="31" spans="1:22" ht="14.55" customHeight="1" x14ac:dyDescent="0.3">
      <c r="A31" s="4">
        <v>2003100007</v>
      </c>
      <c r="B31" s="4" t="str">
        <f>_xlfn.XLOOKUP(Actuals[[#This Row],[Account]],Accounts[Account],Accounts[Name])</f>
        <v>Revenue (NL)</v>
      </c>
      <c r="C31" t="s">
        <v>87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1520904.79</v>
      </c>
      <c r="R31">
        <v>1165766.1599999999</v>
      </c>
      <c r="S31">
        <v>1397252.56</v>
      </c>
      <c r="T31">
        <v>1562865.42</v>
      </c>
      <c r="U31">
        <v>1748359.82</v>
      </c>
      <c r="V31">
        <v>1444158.71</v>
      </c>
    </row>
    <row r="32" spans="1:22" ht="14.55" customHeight="1" x14ac:dyDescent="0.3">
      <c r="A32" s="4">
        <v>2211200001</v>
      </c>
      <c r="B32" s="4" t="str">
        <f>_xlfn.XLOOKUP(Actuals[[#This Row],[Account]],Accounts[Account],Accounts[Name])</f>
        <v>COGS (DE)</v>
      </c>
      <c r="C32" t="s">
        <v>88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9511517.2004292104</v>
      </c>
      <c r="R32">
        <v>13135651.094679</v>
      </c>
      <c r="S32">
        <v>15677777.3821669</v>
      </c>
      <c r="T32">
        <v>11529761.1035049</v>
      </c>
      <c r="U32">
        <v>12207980.403199</v>
      </c>
      <c r="V32">
        <v>11216653.5129917</v>
      </c>
    </row>
    <row r="33" spans="1:22" ht="14.55" customHeight="1" x14ac:dyDescent="0.3">
      <c r="A33" s="4">
        <v>2211200002</v>
      </c>
      <c r="B33" s="4" t="str">
        <f>_xlfn.XLOOKUP(Actuals[[#This Row],[Account]],Accounts[Account],Accounts[Name])</f>
        <v>COGS (PL)</v>
      </c>
      <c r="C33" t="s">
        <v>88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729894.78932666394</v>
      </c>
      <c r="R33">
        <v>860147.62850186101</v>
      </c>
      <c r="S33">
        <v>1085322.40783762</v>
      </c>
      <c r="T33">
        <v>790838.16351295903</v>
      </c>
      <c r="U33">
        <v>806592.59209118702</v>
      </c>
      <c r="V33">
        <v>734792.92918374401</v>
      </c>
    </row>
    <row r="34" spans="1:22" ht="14.55" customHeight="1" x14ac:dyDescent="0.3">
      <c r="A34" s="4">
        <v>2211200003</v>
      </c>
      <c r="B34" s="4" t="str">
        <f>_xlfn.XLOOKUP(Actuals[[#This Row],[Account]],Accounts[Account],Accounts[Name])</f>
        <v>COGS (NL)</v>
      </c>
      <c r="C34" t="s">
        <v>88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927464.07947095903</v>
      </c>
      <c r="R34">
        <v>705415.86234208697</v>
      </c>
      <c r="S34">
        <v>844968.03555313603</v>
      </c>
      <c r="T34">
        <v>951185.12176403799</v>
      </c>
      <c r="U34">
        <v>1063118.24671809</v>
      </c>
      <c r="V34">
        <v>883462.24840679998</v>
      </c>
    </row>
    <row r="35" spans="1:22" ht="14.55" customHeight="1" x14ac:dyDescent="0.3">
      <c r="A35" s="4">
        <v>2201201000</v>
      </c>
      <c r="B35" s="4" t="str">
        <f>_xlfn.XLOOKUP(Actuals[[#This Row],[Account]],Accounts[Account],Accounts[Name])</f>
        <v>COGS (Others)</v>
      </c>
      <c r="C35" t="s">
        <v>88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11611.850274976399</v>
      </c>
      <c r="R35">
        <v>8922.8193539330496</v>
      </c>
      <c r="S35">
        <v>10794.8977603319</v>
      </c>
      <c r="T35">
        <v>12371.1268462671</v>
      </c>
      <c r="U35">
        <v>13693.7410790924</v>
      </c>
      <c r="V35">
        <v>11170.5731586531</v>
      </c>
    </row>
    <row r="36" spans="1:22" ht="14.55" customHeight="1" x14ac:dyDescent="0.3">
      <c r="A36" s="4">
        <v>2690200007</v>
      </c>
      <c r="B36" s="4" t="str">
        <f>_xlfn.XLOOKUP(Actuals[[#This Row],[Account]],Accounts[Account],Accounts[Name])</f>
        <v>Payment (PayPal)</v>
      </c>
      <c r="C36" t="s">
        <v>90</v>
      </c>
      <c r="D36" t="s">
        <v>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329966.84307302802</v>
      </c>
      <c r="R36">
        <v>444477.28743122099</v>
      </c>
      <c r="S36">
        <v>530386.95979647699</v>
      </c>
      <c r="T36">
        <v>380806.02657311701</v>
      </c>
      <c r="U36">
        <v>409564.14912196499</v>
      </c>
      <c r="V36">
        <v>367756.222488261</v>
      </c>
    </row>
    <row r="37" spans="1:22" ht="14.55" customHeight="1" x14ac:dyDescent="0.3">
      <c r="A37" s="4">
        <v>2690200010</v>
      </c>
      <c r="B37" s="4" t="str">
        <f>_xlfn.XLOOKUP(Actuals[[#This Row],[Account]],Accounts[Account],Accounts[Name])</f>
        <v>Payment (Credit Card)</v>
      </c>
      <c r="C37" t="s">
        <v>90</v>
      </c>
      <c r="D37" t="s">
        <v>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74250.497054608102</v>
      </c>
      <c r="R37">
        <v>90525.201571920697</v>
      </c>
      <c r="S37">
        <v>120810.01492454299</v>
      </c>
      <c r="T37">
        <v>111996.598302556</v>
      </c>
      <c r="U37">
        <v>114779.62223885801</v>
      </c>
      <c r="V37">
        <v>104151.265933988</v>
      </c>
    </row>
    <row r="38" spans="1:22" ht="14.55" customHeight="1" x14ac:dyDescent="0.3">
      <c r="A38" s="4">
        <v>2532300000</v>
      </c>
      <c r="B38" s="4" t="str">
        <f>_xlfn.XLOOKUP(Actuals[[#This Row],[Account]],Accounts[Account],Accounts[Name])</f>
        <v>Warehouse</v>
      </c>
      <c r="C38" t="s">
        <v>90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1830023.9135537201</v>
      </c>
      <c r="R38">
        <v>2405737.6774740801</v>
      </c>
      <c r="S38">
        <v>2768479.82802766</v>
      </c>
      <c r="T38">
        <v>2084666.57778483</v>
      </c>
      <c r="U38">
        <v>2202174.6291354098</v>
      </c>
      <c r="V38">
        <v>1982751.8174181301</v>
      </c>
    </row>
    <row r="39" spans="1:22" ht="14.55" customHeight="1" x14ac:dyDescent="0.3">
      <c r="A39" s="4">
        <v>2530200000</v>
      </c>
      <c r="B39" s="4" t="str">
        <f>_xlfn.XLOOKUP(Actuals[[#This Row],[Account]],Accounts[Account],Accounts[Name])</f>
        <v>Distribution (Different Carriers)</v>
      </c>
      <c r="C39" t="s">
        <v>90</v>
      </c>
      <c r="D39" t="s">
        <v>27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2778072.4982260298</v>
      </c>
      <c r="R39">
        <v>3677847.77127065</v>
      </c>
      <c r="S39">
        <v>4284234.87507213</v>
      </c>
      <c r="T39">
        <v>3178369.0756239402</v>
      </c>
      <c r="U39">
        <v>3385070.5480162799</v>
      </c>
      <c r="V39">
        <v>3050680.7288258802</v>
      </c>
    </row>
    <row r="40" spans="1:22" ht="14.55" customHeight="1" x14ac:dyDescent="0.3">
      <c r="A40" s="4">
        <v>2530300000</v>
      </c>
      <c r="B40" s="4" t="str">
        <f>_xlfn.XLOOKUP(Actuals[[#This Row],[Account]],Accounts[Account],Accounts[Name])</f>
        <v>Distribution (Package Material)</v>
      </c>
      <c r="C40" t="s">
        <v>90</v>
      </c>
      <c r="D40" t="s">
        <v>27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156074.88800867199</v>
      </c>
      <c r="R40">
        <v>140392.533124126</v>
      </c>
      <c r="S40">
        <v>180733.35611056001</v>
      </c>
      <c r="T40">
        <v>163355.03418914301</v>
      </c>
      <c r="U40">
        <v>185825.34447021401</v>
      </c>
      <c r="V40">
        <v>148540.53177824599</v>
      </c>
    </row>
    <row r="41" spans="1:22" ht="14.55" customHeight="1" x14ac:dyDescent="0.3">
      <c r="A41" s="4">
        <v>2400210100</v>
      </c>
      <c r="B41" s="4" t="str">
        <f>_xlfn.XLOOKUP(Actuals[[#This Row],[Account]],Accounts[Account],Accounts[Name])</f>
        <v>Labour (Salaries)</v>
      </c>
      <c r="C41" t="s">
        <v>91</v>
      </c>
      <c r="D41" t="s">
        <v>18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1542025.3909785899</v>
      </c>
      <c r="R41">
        <v>1561231.0370585199</v>
      </c>
      <c r="S41">
        <v>1543421.39170613</v>
      </c>
      <c r="T41">
        <v>1559364.2245044301</v>
      </c>
      <c r="U41">
        <v>1549069.95596109</v>
      </c>
      <c r="V41">
        <v>1552312.41086801</v>
      </c>
    </row>
    <row r="42" spans="1:22" ht="14.55" customHeight="1" x14ac:dyDescent="0.3">
      <c r="A42" s="4">
        <v>2400210200</v>
      </c>
      <c r="B42" s="4" t="str">
        <f>_xlfn.XLOOKUP(Actuals[[#This Row],[Account]],Accounts[Account],Accounts[Name])</f>
        <v>Labour (Bonuses)</v>
      </c>
      <c r="C42" t="s">
        <v>91</v>
      </c>
      <c r="D42" t="s">
        <v>18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415.55055742033699</v>
      </c>
      <c r="R42">
        <v>434.614188572329</v>
      </c>
      <c r="S42">
        <v>20457.1605350963</v>
      </c>
      <c r="T42">
        <v>769.53963193034701</v>
      </c>
      <c r="U42">
        <v>580.92697704545799</v>
      </c>
      <c r="V42">
        <v>8439.6192744227792</v>
      </c>
    </row>
    <row r="43" spans="1:22" ht="14.55" customHeight="1" x14ac:dyDescent="0.3">
      <c r="A43" s="4">
        <v>2400210120</v>
      </c>
      <c r="B43" s="4" t="str">
        <f>_xlfn.XLOOKUP(Actuals[[#This Row],[Account]],Accounts[Account],Accounts[Name])</f>
        <v>Labour (Social Contributions)</v>
      </c>
      <c r="C43" t="s">
        <v>91</v>
      </c>
      <c r="D43" t="s">
        <v>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31278.816368823998</v>
      </c>
      <c r="R43">
        <v>31668.3883437689</v>
      </c>
      <c r="S43">
        <v>31307.133185565599</v>
      </c>
      <c r="T43">
        <v>31630.521465949601</v>
      </c>
      <c r="U43">
        <v>31421.710030481499</v>
      </c>
      <c r="V43">
        <v>31487.480770841099</v>
      </c>
    </row>
    <row r="44" spans="1:22" ht="14.55" customHeight="1" x14ac:dyDescent="0.3">
      <c r="A44" s="4">
        <v>2546100100</v>
      </c>
      <c r="B44" s="4" t="str">
        <f>_xlfn.XLOOKUP(Actuals[[#This Row],[Account]],Accounts[Account],Accounts[Name])</f>
        <v>Marketing (Google)</v>
      </c>
      <c r="C44" t="s">
        <v>91</v>
      </c>
      <c r="D44" t="s">
        <v>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359256.31929000001</v>
      </c>
      <c r="R44">
        <v>369330.92676575598</v>
      </c>
      <c r="S44">
        <v>425180.18966605898</v>
      </c>
      <c r="T44">
        <v>358492.33783221903</v>
      </c>
      <c r="U44">
        <v>303859.33126635099</v>
      </c>
      <c r="V44">
        <v>286833.30015780003</v>
      </c>
    </row>
    <row r="45" spans="1:22" ht="14.55" customHeight="1" x14ac:dyDescent="0.3">
      <c r="A45" s="4">
        <v>2544601400</v>
      </c>
      <c r="B45" s="4" t="str">
        <f>_xlfn.XLOOKUP(Actuals[[#This Row],[Account]],Accounts[Account],Accounts[Name])</f>
        <v>Marketing (Meta)</v>
      </c>
      <c r="C45" t="s">
        <v>91</v>
      </c>
      <c r="D45" t="s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120743.037261</v>
      </c>
      <c r="R45">
        <v>128562.52376125701</v>
      </c>
      <c r="S45">
        <v>132254.701547723</v>
      </c>
      <c r="T45">
        <v>131225.527882522</v>
      </c>
      <c r="U45">
        <v>113819.14772511199</v>
      </c>
      <c r="V45">
        <v>108185.128128</v>
      </c>
    </row>
    <row r="46" spans="1:22" ht="14.55" customHeight="1" x14ac:dyDescent="0.3">
      <c r="A46" s="4">
        <v>2544600140</v>
      </c>
      <c r="B46" s="4" t="str">
        <f>_xlfn.XLOOKUP(Actuals[[#This Row],[Account]],Accounts[Account],Accounts[Name])</f>
        <v>Marketing (Flyers)</v>
      </c>
      <c r="C46" t="s">
        <v>91</v>
      </c>
      <c r="D46" t="s">
        <v>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77803.449273000006</v>
      </c>
      <c r="R46">
        <v>90917.016300000003</v>
      </c>
      <c r="S46">
        <v>108164.706998127</v>
      </c>
      <c r="T46">
        <v>142914.880077254</v>
      </c>
      <c r="U46">
        <v>133451.56798714501</v>
      </c>
      <c r="V46">
        <v>144759.4576461</v>
      </c>
    </row>
    <row r="47" spans="1:22" ht="14.55" customHeight="1" x14ac:dyDescent="0.3">
      <c r="A47" s="4">
        <v>2544600120</v>
      </c>
      <c r="B47" s="4" t="str">
        <f>_xlfn.XLOOKUP(Actuals[[#This Row],[Account]],Accounts[Account],Accounts[Name])</f>
        <v>Marketing (TV)</v>
      </c>
      <c r="C47" t="s">
        <v>91</v>
      </c>
      <c r="D47" t="s">
        <v>17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12718.715228999999</v>
      </c>
      <c r="R47">
        <v>13651.5784597084</v>
      </c>
      <c r="S47">
        <v>16336.8791920125</v>
      </c>
      <c r="T47">
        <v>15475.386891739799</v>
      </c>
      <c r="U47">
        <v>11421.3553828605</v>
      </c>
      <c r="V47">
        <v>12351.66669</v>
      </c>
    </row>
    <row r="48" spans="1:22" ht="14.55" customHeight="1" x14ac:dyDescent="0.3">
      <c r="A48" s="4">
        <v>2544600170</v>
      </c>
      <c r="B48" s="4" t="str">
        <f>_xlfn.XLOOKUP(Actuals[[#This Row],[Account]],Accounts[Account],Accounts[Name])</f>
        <v>Marketing (Print)</v>
      </c>
      <c r="C48" t="s">
        <v>91</v>
      </c>
      <c r="D48" t="s">
        <v>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2632.9841999999999</v>
      </c>
      <c r="R48">
        <v>2560.9757513725699</v>
      </c>
      <c r="S48">
        <v>2620.5616775250001</v>
      </c>
      <c r="T48">
        <v>3759.3345729041598</v>
      </c>
      <c r="U48">
        <v>3757.097381301</v>
      </c>
      <c r="V48">
        <v>3807.1657799999998</v>
      </c>
    </row>
    <row r="49" spans="1:22" ht="14.55" customHeight="1" x14ac:dyDescent="0.3">
      <c r="A49" s="4">
        <v>2561400000</v>
      </c>
      <c r="B49" s="4" t="str">
        <f>_xlfn.XLOOKUP(Actuals[[#This Row],[Account]],Accounts[Account],Accounts[Name])</f>
        <v>Rent</v>
      </c>
      <c r="C49" t="s">
        <v>91</v>
      </c>
      <c r="D49" t="s">
        <v>19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96777.789965999997</v>
      </c>
      <c r="R49">
        <v>96777.789965999997</v>
      </c>
      <c r="S49">
        <v>96777.789965999997</v>
      </c>
      <c r="T49">
        <v>96777.789965999997</v>
      </c>
      <c r="U49">
        <v>96777.789965999997</v>
      </c>
      <c r="V49">
        <v>96777.789965999997</v>
      </c>
    </row>
    <row r="50" spans="1:22" ht="14.55" customHeight="1" x14ac:dyDescent="0.3">
      <c r="A50" s="4">
        <v>2627300000</v>
      </c>
      <c r="B50" s="4" t="str">
        <f>_xlfn.XLOOKUP(Actuals[[#This Row],[Account]],Accounts[Account],Accounts[Name])</f>
        <v>Consulting (BCG, KPMG, etc.)</v>
      </c>
      <c r="C50" t="s">
        <v>91</v>
      </c>
      <c r="D50" t="s">
        <v>22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11847.925782</v>
      </c>
      <c r="R50">
        <v>8517.8596140000009</v>
      </c>
      <c r="S50">
        <v>2207.6099100000001</v>
      </c>
      <c r="T50">
        <v>7067.7178110000004</v>
      </c>
      <c r="U50">
        <v>12834.947466</v>
      </c>
      <c r="V50">
        <v>22129.992621000001</v>
      </c>
    </row>
    <row r="51" spans="1:22" ht="14.55" customHeight="1" x14ac:dyDescent="0.3">
      <c r="A51" s="4">
        <v>2627100000</v>
      </c>
      <c r="B51" s="4" t="str">
        <f>_xlfn.XLOOKUP(Actuals[[#This Row],[Account]],Accounts[Account],Accounts[Name])</f>
        <v>Consulting (for different IT-Tools)</v>
      </c>
      <c r="C51" t="s">
        <v>91</v>
      </c>
      <c r="D51" t="s">
        <v>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5832.7068689999996</v>
      </c>
      <c r="R51">
        <v>1808.122239</v>
      </c>
      <c r="S51">
        <v>7327.0032659999997</v>
      </c>
      <c r="T51">
        <v>7621.554897</v>
      </c>
      <c r="U51">
        <v>2082.0939480000002</v>
      </c>
      <c r="V51">
        <v>2059.214058</v>
      </c>
    </row>
    <row r="52" spans="1:22" ht="14.55" customHeight="1" x14ac:dyDescent="0.3">
      <c r="A52" s="4">
        <v>2601100200</v>
      </c>
      <c r="B52" s="4" t="str">
        <f>_xlfn.XLOOKUP(Actuals[[#This Row],[Account]],Accounts[Account],Accounts[Name])</f>
        <v>Travel</v>
      </c>
      <c r="C52" t="s">
        <v>91</v>
      </c>
      <c r="D52" t="s">
        <v>21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12843.859842</v>
      </c>
      <c r="R52">
        <v>9002.1466259999997</v>
      </c>
      <c r="S52">
        <v>674.07030899999995</v>
      </c>
      <c r="T52">
        <v>782.94744000000003</v>
      </c>
      <c r="U52">
        <v>1103.4935009999999</v>
      </c>
      <c r="V52">
        <v>4852.5611310000004</v>
      </c>
    </row>
    <row r="53" spans="1:22" ht="14.55" customHeight="1" x14ac:dyDescent="0.3">
      <c r="A53" s="4">
        <v>2633100000</v>
      </c>
      <c r="B53" s="4" t="str">
        <f>_xlfn.XLOOKUP(Actuals[[#This Row],[Account]],Accounts[Account],Accounts[Name])</f>
        <v>Insurance (Cyber Security)</v>
      </c>
      <c r="C53" t="s">
        <v>91</v>
      </c>
      <c r="D53" t="s">
        <v>20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71860.823099999994</v>
      </c>
      <c r="R53">
        <v>13974.294114</v>
      </c>
      <c r="S53">
        <v>9383.5460070000008</v>
      </c>
      <c r="T53">
        <v>10880.322056999999</v>
      </c>
      <c r="U53">
        <v>10131.934031999999</v>
      </c>
      <c r="V53">
        <v>10131.934031999999</v>
      </c>
    </row>
    <row r="54" spans="1:22" ht="14.55" customHeight="1" x14ac:dyDescent="0.3">
      <c r="A54" s="4">
        <v>2633600000</v>
      </c>
      <c r="B54" s="4" t="str">
        <f>_xlfn.XLOOKUP(Actuals[[#This Row],[Account]],Accounts[Account],Accounts[Name])</f>
        <v>Insurance (Legal Protection)</v>
      </c>
      <c r="C54" t="s">
        <v>91</v>
      </c>
      <c r="D54" t="s">
        <v>20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27026.097417000001</v>
      </c>
      <c r="R54">
        <v>28340.037990000001</v>
      </c>
      <c r="S54">
        <v>28256.017284000001</v>
      </c>
      <c r="T54">
        <v>25741.912680000001</v>
      </c>
      <c r="U54">
        <v>24393.041343000001</v>
      </c>
      <c r="V54">
        <v>25141.213746000001</v>
      </c>
    </row>
    <row r="55" spans="1:22" ht="14.55" customHeight="1" x14ac:dyDescent="0.3">
      <c r="A55" s="4">
        <v>2616100000</v>
      </c>
      <c r="B55" s="4" t="str">
        <f>_xlfn.XLOOKUP(Actuals[[#This Row],[Account]],Accounts[Account],Accounts[Name])</f>
        <v>Insurance (Others)</v>
      </c>
      <c r="C55" t="s">
        <v>91</v>
      </c>
      <c r="D55" t="s">
        <v>20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38153.678012999997</v>
      </c>
      <c r="T55">
        <v>0</v>
      </c>
      <c r="U55">
        <v>0</v>
      </c>
      <c r="V55">
        <v>0</v>
      </c>
    </row>
    <row r="56" spans="1:22" x14ac:dyDescent="0.3">
      <c r="A56" s="4"/>
      <c r="B56" s="4"/>
      <c r="C56" t="s">
        <v>89</v>
      </c>
      <c r="D56" s="4"/>
      <c r="E56">
        <f>SUM(E2:E4)-SUM(E5:E8)</f>
        <v>6903611.9428175651</v>
      </c>
      <c r="F56">
        <f t="shared" ref="F56:P56" si="0">SUM(F2:F4)-SUM(F5:F8)</f>
        <v>9144707.0058350284</v>
      </c>
      <c r="G56">
        <f t="shared" si="0"/>
        <v>12441609.04124926</v>
      </c>
      <c r="H56">
        <f t="shared" si="0"/>
        <v>11724255.672026537</v>
      </c>
      <c r="I56">
        <f t="shared" si="0"/>
        <v>10545181.478455368</v>
      </c>
      <c r="J56">
        <f t="shared" si="0"/>
        <v>8394281.6238351874</v>
      </c>
      <c r="K56">
        <f t="shared" si="0"/>
        <v>6282143.3143321201</v>
      </c>
      <c r="L56">
        <f t="shared" si="0"/>
        <v>7568586.8002002407</v>
      </c>
      <c r="M56">
        <f t="shared" si="0"/>
        <v>13160575.533905849</v>
      </c>
      <c r="N56">
        <f t="shared" si="0"/>
        <v>12088774.992703758</v>
      </c>
      <c r="O56">
        <f t="shared" si="0"/>
        <v>13055204.842663277</v>
      </c>
      <c r="P56">
        <f t="shared" si="0"/>
        <v>12207005.726379693</v>
      </c>
      <c r="Q56">
        <f>SUM(Q29:Q31)-SUM(Q32:Q35)</f>
        <v>7089689.0804981869</v>
      </c>
      <c r="R56">
        <f t="shared" ref="R56:V56" si="1">SUM(R29:R31)-SUM(R32:R35)</f>
        <v>9381707.0951231234</v>
      </c>
      <c r="S56">
        <f t="shared" si="1"/>
        <v>11441565.216682006</v>
      </c>
      <c r="T56">
        <f t="shared" si="1"/>
        <v>8705533.1943718381</v>
      </c>
      <c r="U56">
        <f t="shared" si="1"/>
        <v>9312671.2069126312</v>
      </c>
      <c r="V56">
        <f t="shared" si="1"/>
        <v>8293850.1862591021</v>
      </c>
    </row>
    <row r="57" spans="1:22" x14ac:dyDescent="0.3">
      <c r="A57" s="4"/>
      <c r="B57" s="4"/>
      <c r="C57" t="s">
        <v>93</v>
      </c>
      <c r="D57" s="4"/>
      <c r="E57">
        <f>E56-SUM(E9:E13)</f>
        <v>2350783.0070319464</v>
      </c>
      <c r="F57">
        <f t="shared" ref="F57:P57" si="2">F56-SUM(F9:F13)</f>
        <v>3209154.3958599726</v>
      </c>
      <c r="G57">
        <f t="shared" si="2"/>
        <v>4580383.2658436233</v>
      </c>
      <c r="H57">
        <f t="shared" si="2"/>
        <v>4451142.2131787678</v>
      </c>
      <c r="I57">
        <f t="shared" si="2"/>
        <v>3959340.6962441364</v>
      </c>
      <c r="J57">
        <f t="shared" si="2"/>
        <v>3207221.3323162086</v>
      </c>
      <c r="K57">
        <f t="shared" si="2"/>
        <v>2415292.9187365556</v>
      </c>
      <c r="L57">
        <f t="shared" si="2"/>
        <v>3001369.3946829289</v>
      </c>
      <c r="M57">
        <f t="shared" si="2"/>
        <v>4490092.1016194895</v>
      </c>
      <c r="N57">
        <f t="shared" si="2"/>
        <v>3993256.0895537604</v>
      </c>
      <c r="O57">
        <f t="shared" si="2"/>
        <v>4354747.0218489431</v>
      </c>
      <c r="P57">
        <f t="shared" si="2"/>
        <v>4148627.5203850316</v>
      </c>
      <c r="Q57">
        <f>Q56-SUM(Q36:Q40)</f>
        <v>1921300.4405821292</v>
      </c>
      <c r="R57">
        <f t="shared" ref="R57:V57" si="3">R56-SUM(R36:R40)</f>
        <v>2622726.6242511263</v>
      </c>
      <c r="S57">
        <f t="shared" si="3"/>
        <v>3556920.1827506358</v>
      </c>
      <c r="T57">
        <f t="shared" si="3"/>
        <v>2786339.8818982514</v>
      </c>
      <c r="U57">
        <f t="shared" si="3"/>
        <v>3015256.9139299039</v>
      </c>
      <c r="V57">
        <f t="shared" si="3"/>
        <v>2639969.6198145971</v>
      </c>
    </row>
    <row r="58" spans="1:22" x14ac:dyDescent="0.3">
      <c r="A58" s="4"/>
      <c r="B58" s="4"/>
      <c r="C58" t="s">
        <v>92</v>
      </c>
      <c r="D58" s="4"/>
      <c r="E58">
        <f>E57-SUM(E14:E28)</f>
        <v>13028.879961262457</v>
      </c>
      <c r="F58">
        <f t="shared" ref="F58:P58" si="4">F57-SUM(F14:F28)</f>
        <v>873043.62891760981</v>
      </c>
      <c r="G58">
        <f t="shared" si="4"/>
        <v>2110234.731094718</v>
      </c>
      <c r="H58">
        <f t="shared" si="4"/>
        <v>2009575.9696350116</v>
      </c>
      <c r="I58">
        <f t="shared" si="4"/>
        <v>1600280.819970971</v>
      </c>
      <c r="J58">
        <f t="shared" si="4"/>
        <v>839256.71486439975</v>
      </c>
      <c r="K58">
        <f t="shared" si="4"/>
        <v>198708.62786181644</v>
      </c>
      <c r="L58">
        <f t="shared" si="4"/>
        <v>839962.82439670758</v>
      </c>
      <c r="M58">
        <f t="shared" si="4"/>
        <v>1998289.0273408936</v>
      </c>
      <c r="N58">
        <f t="shared" si="4"/>
        <v>1276259.1641699262</v>
      </c>
      <c r="O58">
        <f t="shared" si="4"/>
        <v>1748192.1035890505</v>
      </c>
      <c r="P58">
        <f t="shared" si="4"/>
        <v>1655883.0034360215</v>
      </c>
      <c r="Q58">
        <f>Q57-SUM(Q41:Q55)</f>
        <v>-451763.02555170562</v>
      </c>
      <c r="R58">
        <f t="shared" ref="R58:V58" si="5">R57-SUM(R41:R55)</f>
        <v>265949.31307317084</v>
      </c>
      <c r="S58">
        <f t="shared" si="5"/>
        <v>1094397.7434873977</v>
      </c>
      <c r="T58">
        <f t="shared" si="5"/>
        <v>393835.88418830233</v>
      </c>
      <c r="U58">
        <f t="shared" si="5"/>
        <v>720552.52096251724</v>
      </c>
      <c r="V58">
        <f t="shared" si="5"/>
        <v>330700.68494542316</v>
      </c>
    </row>
    <row r="60" spans="1:22" x14ac:dyDescent="0.3">
      <c r="P60" s="12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A31A-20A9-4B90-A401-10FF026EA313}">
  <sheetPr>
    <tabColor rgb="FF92D050"/>
  </sheetPr>
  <dimension ref="A1:N17"/>
  <sheetViews>
    <sheetView workbookViewId="0">
      <pane ySplit="3" topLeftCell="A4" activePane="bottomLeft" state="frozen"/>
      <selection pane="bottomLeft"/>
    </sheetView>
  </sheetViews>
  <sheetFormatPr defaultColWidth="10.88671875" defaultRowHeight="14.4" x14ac:dyDescent="0.3"/>
  <cols>
    <col min="1" max="1" width="18.33203125" bestFit="1" customWidth="1"/>
    <col min="3" max="3" width="14.5546875" bestFit="1" customWidth="1"/>
    <col min="14" max="14" width="11.44140625" customWidth="1"/>
  </cols>
  <sheetData>
    <row r="1" spans="1:14" x14ac:dyDescent="0.3"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3">
      <c r="A3" s="9" t="s">
        <v>85</v>
      </c>
      <c r="B3" s="9" t="s">
        <v>86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63</v>
      </c>
      <c r="L3" s="3" t="s">
        <v>64</v>
      </c>
      <c r="M3" s="3" t="s">
        <v>65</v>
      </c>
      <c r="N3" s="3" t="s">
        <v>66</v>
      </c>
    </row>
    <row r="4" spans="1:14" x14ac:dyDescent="0.3">
      <c r="A4" t="s">
        <v>87</v>
      </c>
      <c r="C4" s="6">
        <v>18928135.072498478</v>
      </c>
      <c r="D4" s="6">
        <v>24920142.093276463</v>
      </c>
      <c r="E4" s="6">
        <v>33841465.42255</v>
      </c>
      <c r="F4" s="6">
        <v>31628224.583339993</v>
      </c>
      <c r="G4" s="6">
        <v>28396608.206160001</v>
      </c>
      <c r="H4" s="6">
        <v>22853546.025970001</v>
      </c>
      <c r="I4" s="6">
        <v>16910000.054470003</v>
      </c>
      <c r="J4" s="6">
        <v>20320262.58306</v>
      </c>
      <c r="K4" s="6">
        <v>37167698.933705002</v>
      </c>
      <c r="L4" s="6">
        <v>34279013.753494993</v>
      </c>
      <c r="M4" s="6">
        <v>37110361.590127759</v>
      </c>
      <c r="N4" s="6">
        <v>34586886.816891879</v>
      </c>
    </row>
    <row r="5" spans="1:14" x14ac:dyDescent="0.3">
      <c r="A5" t="s">
        <v>88</v>
      </c>
      <c r="C5" s="6">
        <v>11379260.8894787</v>
      </c>
      <c r="D5" s="6">
        <v>14940672.2705267</v>
      </c>
      <c r="E5" s="6">
        <v>20325399.297635801</v>
      </c>
      <c r="F5" s="6">
        <v>18975128.868847899</v>
      </c>
      <c r="G5" s="6">
        <v>17054295.8429645</v>
      </c>
      <c r="H5" s="6">
        <v>13728918.022774501</v>
      </c>
      <c r="I5" s="6">
        <v>10145183.3624616</v>
      </c>
      <c r="J5" s="6">
        <v>12170512.164061399</v>
      </c>
      <c r="K5" s="6">
        <v>22281428.4846063</v>
      </c>
      <c r="L5" s="6">
        <v>20527854.643010002</v>
      </c>
      <c r="M5" s="6">
        <v>22204997.803047799</v>
      </c>
      <c r="N5" s="6">
        <v>20700360.9398087</v>
      </c>
    </row>
    <row r="6" spans="1:14" ht="15" thickBot="1" x14ac:dyDescent="0.35">
      <c r="A6" s="7" t="s">
        <v>89</v>
      </c>
      <c r="B6" s="1"/>
      <c r="C6" s="7">
        <f>C4-C5</f>
        <v>7548874.1830197778</v>
      </c>
      <c r="D6" s="7">
        <f t="shared" ref="D6:N6" si="0">D4-D5</f>
        <v>9979469.8227497637</v>
      </c>
      <c r="E6" s="7">
        <f t="shared" si="0"/>
        <v>13516066.124914199</v>
      </c>
      <c r="F6" s="7">
        <f t="shared" si="0"/>
        <v>12653095.714492094</v>
      </c>
      <c r="G6" s="7">
        <f t="shared" si="0"/>
        <v>11342312.363195501</v>
      </c>
      <c r="H6" s="7">
        <f t="shared" si="0"/>
        <v>9124628.0031955</v>
      </c>
      <c r="I6" s="7">
        <f t="shared" si="0"/>
        <v>6764816.6920084022</v>
      </c>
      <c r="J6" s="7">
        <f t="shared" si="0"/>
        <v>8149750.4189986009</v>
      </c>
      <c r="K6" s="7">
        <f t="shared" si="0"/>
        <v>14886270.449098703</v>
      </c>
      <c r="L6" s="7">
        <f t="shared" si="0"/>
        <v>13751159.110484991</v>
      </c>
      <c r="M6" s="7">
        <f t="shared" si="0"/>
        <v>14905363.78707996</v>
      </c>
      <c r="N6" s="7">
        <f t="shared" si="0"/>
        <v>13886525.877083179</v>
      </c>
    </row>
    <row r="7" spans="1:14" ht="15" thickTop="1" x14ac:dyDescent="0.3">
      <c r="A7" t="s">
        <v>90</v>
      </c>
      <c r="B7" t="s">
        <v>25</v>
      </c>
      <c r="C7" s="6">
        <v>425933.52437138202</v>
      </c>
      <c r="D7" s="6">
        <v>560769.66425746295</v>
      </c>
      <c r="E7" s="6">
        <v>761523.23417545902</v>
      </c>
      <c r="F7" s="6">
        <v>711719.41212343494</v>
      </c>
      <c r="G7" s="6">
        <v>638999.424249487</v>
      </c>
      <c r="H7" s="6">
        <v>514265.74070512003</v>
      </c>
      <c r="I7" s="6">
        <v>380520.103683408</v>
      </c>
      <c r="J7" s="6">
        <v>457260.106450213</v>
      </c>
      <c r="K7" s="6">
        <v>836372.35992725706</v>
      </c>
      <c r="L7" s="6">
        <v>771369.23865336506</v>
      </c>
      <c r="M7" s="6">
        <v>835082.11676624801</v>
      </c>
      <c r="N7" s="6">
        <v>778297.20374075405</v>
      </c>
    </row>
    <row r="8" spans="1:14" x14ac:dyDescent="0.3">
      <c r="A8" t="s">
        <v>90</v>
      </c>
      <c r="B8" t="s">
        <v>26</v>
      </c>
      <c r="C8" s="6">
        <v>1666186.2385877799</v>
      </c>
      <c r="D8" s="6">
        <v>2162748.01641997</v>
      </c>
      <c r="E8" s="6">
        <v>2853089.8029714199</v>
      </c>
      <c r="F8" s="6">
        <v>2627283.7802903699</v>
      </c>
      <c r="G8" s="6">
        <v>2288427.6901496798</v>
      </c>
      <c r="H8" s="6">
        <v>1841723.0383379001</v>
      </c>
      <c r="I8" s="6">
        <v>1320813.58303332</v>
      </c>
      <c r="J8" s="6">
        <v>1612377.23486577</v>
      </c>
      <c r="K8" s="6">
        <v>3179597.4013763499</v>
      </c>
      <c r="L8" s="6">
        <v>3017477.4625007599</v>
      </c>
      <c r="M8" s="6">
        <v>3312722.44667602</v>
      </c>
      <c r="N8" s="6">
        <v>2958815.81587394</v>
      </c>
    </row>
    <row r="9" spans="1:14" x14ac:dyDescent="0.3">
      <c r="A9" t="s">
        <v>90</v>
      </c>
      <c r="B9" t="s">
        <v>27</v>
      </c>
      <c r="C9" s="6">
        <v>2929859.42979164</v>
      </c>
      <c r="D9" s="6">
        <v>3825209.1616816702</v>
      </c>
      <c r="E9" s="6">
        <v>5107316.0562991304</v>
      </c>
      <c r="F9" s="6">
        <v>4732498.8242035098</v>
      </c>
      <c r="G9" s="6">
        <v>4248955.3782227701</v>
      </c>
      <c r="H9" s="6">
        <v>3331115.9591815802</v>
      </c>
      <c r="I9" s="6">
        <v>2399352.2174073802</v>
      </c>
      <c r="J9" s="6">
        <v>2857021.6092472398</v>
      </c>
      <c r="K9" s="6">
        <v>5753135.8893773099</v>
      </c>
      <c r="L9" s="6">
        <v>5394433.7090460202</v>
      </c>
      <c r="M9" s="6">
        <v>5792129.5618906999</v>
      </c>
      <c r="N9" s="6">
        <v>5309041.8116723802</v>
      </c>
    </row>
    <row r="10" spans="1:14" ht="15" thickBot="1" x14ac:dyDescent="0.35">
      <c r="A10" s="7" t="s">
        <v>93</v>
      </c>
      <c r="B10" s="1"/>
      <c r="C10" s="7">
        <f>C6-SUM(C7:C9)</f>
        <v>2526894.9902689755</v>
      </c>
      <c r="D10" s="7">
        <f t="shared" ref="D10:N10" si="1">D6-SUM(D7:D9)</f>
        <v>3430742.9803906605</v>
      </c>
      <c r="E10" s="7">
        <f t="shared" si="1"/>
        <v>4794137.0314681903</v>
      </c>
      <c r="F10" s="7">
        <f t="shared" si="1"/>
        <v>4581593.6978747789</v>
      </c>
      <c r="G10" s="7">
        <f t="shared" si="1"/>
        <v>4165929.8705735644</v>
      </c>
      <c r="H10" s="7">
        <f t="shared" si="1"/>
        <v>3437523.2649708996</v>
      </c>
      <c r="I10" s="7">
        <f t="shared" si="1"/>
        <v>2664130.7878842941</v>
      </c>
      <c r="J10" s="7">
        <f t="shared" si="1"/>
        <v>3223091.4684353787</v>
      </c>
      <c r="K10" s="7">
        <f t="shared" si="1"/>
        <v>5117164.7984177861</v>
      </c>
      <c r="L10" s="7">
        <f t="shared" si="1"/>
        <v>4567878.7002848461</v>
      </c>
      <c r="M10" s="7">
        <f t="shared" si="1"/>
        <v>4965429.6617469918</v>
      </c>
      <c r="N10" s="7">
        <f t="shared" si="1"/>
        <v>4840371.0457961038</v>
      </c>
    </row>
    <row r="11" spans="1:14" ht="15" thickTop="1" x14ac:dyDescent="0.3">
      <c r="A11" t="s">
        <v>91</v>
      </c>
      <c r="B11" t="s">
        <v>18</v>
      </c>
      <c r="C11" s="6">
        <v>1539741.89831293</v>
      </c>
      <c r="D11" s="6">
        <v>1539741.89831293</v>
      </c>
      <c r="E11" s="6">
        <v>1539741.89831293</v>
      </c>
      <c r="F11" s="6">
        <v>1539741.89831293</v>
      </c>
      <c r="G11" s="6">
        <v>1539741.89831293</v>
      </c>
      <c r="H11" s="6">
        <v>1539741.89831293</v>
      </c>
      <c r="I11" s="6">
        <v>1539741.89831293</v>
      </c>
      <c r="J11" s="6">
        <v>1539741.89831293</v>
      </c>
      <c r="K11" s="6">
        <v>1539741.89831293</v>
      </c>
      <c r="L11" s="6">
        <v>1539741.89831293</v>
      </c>
      <c r="M11" s="6">
        <v>1539741.89831293</v>
      </c>
      <c r="N11" s="6">
        <v>1539741.89831293</v>
      </c>
    </row>
    <row r="12" spans="1:14" x14ac:dyDescent="0.3">
      <c r="A12" t="s">
        <v>91</v>
      </c>
      <c r="B12" t="s">
        <v>17</v>
      </c>
      <c r="C12" s="6">
        <v>594389.74846967403</v>
      </c>
      <c r="D12" s="6">
        <v>654755.05247511703</v>
      </c>
      <c r="E12" s="6">
        <v>762497.05155056203</v>
      </c>
      <c r="F12" s="6">
        <v>798901.16833800403</v>
      </c>
      <c r="G12" s="6">
        <v>718701.62325884996</v>
      </c>
      <c r="H12" s="6">
        <v>679298.93643700005</v>
      </c>
      <c r="I12" s="6">
        <v>550659.43916571501</v>
      </c>
      <c r="J12" s="6">
        <v>500280.19480502699</v>
      </c>
      <c r="K12" s="6">
        <v>797141.98774690402</v>
      </c>
      <c r="L12" s="6">
        <v>1042540.72640455</v>
      </c>
      <c r="M12" s="6">
        <v>931217.06986752397</v>
      </c>
      <c r="N12" s="6">
        <v>690225.44359521603</v>
      </c>
    </row>
    <row r="13" spans="1:14" x14ac:dyDescent="0.3">
      <c r="A13" t="s">
        <v>91</v>
      </c>
      <c r="B13" t="s">
        <v>19</v>
      </c>
      <c r="C13" s="6">
        <v>98844.251744617504</v>
      </c>
      <c r="D13" s="6">
        <v>98844.251744617504</v>
      </c>
      <c r="E13" s="6">
        <v>98581.501038982504</v>
      </c>
      <c r="F13" s="6">
        <v>98581.501038982504</v>
      </c>
      <c r="G13" s="6">
        <v>98581.501038982504</v>
      </c>
      <c r="H13" s="6">
        <v>98586.819220999998</v>
      </c>
      <c r="I13" s="6">
        <v>98771.160785</v>
      </c>
      <c r="J13" s="6">
        <v>98940.653833999997</v>
      </c>
      <c r="K13" s="6">
        <v>98732.896833999999</v>
      </c>
      <c r="L13" s="6">
        <v>98732.896833999999</v>
      </c>
      <c r="M13" s="6">
        <v>98732.896833999999</v>
      </c>
      <c r="N13" s="6">
        <v>98732.896833999999</v>
      </c>
    </row>
    <row r="14" spans="1:14" x14ac:dyDescent="0.3">
      <c r="A14" t="s">
        <v>91</v>
      </c>
      <c r="B14" t="s">
        <v>22</v>
      </c>
      <c r="C14" s="6">
        <v>17658.308619874999</v>
      </c>
      <c r="D14" s="6">
        <v>12474.306497125001</v>
      </c>
      <c r="E14" s="6">
        <v>15709.4058</v>
      </c>
      <c r="F14" s="6">
        <v>14632.893</v>
      </c>
      <c r="G14" s="6">
        <v>16361.7289</v>
      </c>
      <c r="H14" s="6">
        <v>20406.097634999998</v>
      </c>
      <c r="I14" s="6">
        <v>16432.215029999999</v>
      </c>
      <c r="J14" s="6">
        <v>13968.28356</v>
      </c>
      <c r="K14" s="6">
        <v>16171.699005</v>
      </c>
      <c r="L14" s="6">
        <v>18664.33107</v>
      </c>
      <c r="M14" s="6">
        <v>14523.631815000001</v>
      </c>
      <c r="N14" s="6">
        <v>35025.6205327875</v>
      </c>
    </row>
    <row r="15" spans="1:14" x14ac:dyDescent="0.3">
      <c r="A15" t="s">
        <v>91</v>
      </c>
      <c r="B15" t="s">
        <v>21</v>
      </c>
      <c r="C15" s="6">
        <v>14849.600051047801</v>
      </c>
      <c r="D15" s="6">
        <v>10407.952020766799</v>
      </c>
      <c r="E15" s="6">
        <v>0</v>
      </c>
      <c r="F15" s="6">
        <v>4454.309475</v>
      </c>
      <c r="G15" s="6">
        <v>8445.1326411374994</v>
      </c>
      <c r="H15" s="6">
        <v>8833.1198051249994</v>
      </c>
      <c r="I15" s="6">
        <v>11727.664571699999</v>
      </c>
      <c r="J15" s="6">
        <v>2298.7738706625</v>
      </c>
      <c r="K15" s="6">
        <v>0</v>
      </c>
      <c r="L15" s="6">
        <v>12002.4450401625</v>
      </c>
      <c r="M15" s="6">
        <v>6081.5051450999999</v>
      </c>
      <c r="N15" s="6">
        <v>7952.3431391249997</v>
      </c>
    </row>
    <row r="16" spans="1:14" x14ac:dyDescent="0.3">
      <c r="A16" t="s">
        <v>91</v>
      </c>
      <c r="B16" t="s">
        <v>20</v>
      </c>
      <c r="C16" s="6">
        <v>103700.16645883099</v>
      </c>
      <c r="D16" s="6">
        <v>44373.95016285</v>
      </c>
      <c r="E16" s="6">
        <v>67523.009399999995</v>
      </c>
      <c r="F16" s="6">
        <v>26145.365399999999</v>
      </c>
      <c r="G16" s="6">
        <v>27428.69745</v>
      </c>
      <c r="H16" s="6">
        <v>63358.628024999998</v>
      </c>
      <c r="I16" s="6">
        <v>41498.100104999998</v>
      </c>
      <c r="J16" s="6">
        <v>39352.454295000003</v>
      </c>
      <c r="K16" s="6">
        <v>36790.465635</v>
      </c>
      <c r="L16" s="6">
        <v>38847.11292</v>
      </c>
      <c r="M16" s="6">
        <v>40944.657599999999</v>
      </c>
      <c r="N16" s="6">
        <v>42889.018094999999</v>
      </c>
    </row>
    <row r="17" spans="1:14" x14ac:dyDescent="0.3">
      <c r="A17" s="10" t="s">
        <v>92</v>
      </c>
      <c r="B17" s="11"/>
      <c r="C17" s="10">
        <f>C10-SUM(C11:C16)</f>
        <v>157711.01661199983</v>
      </c>
      <c r="D17" s="10">
        <f t="shared" ref="D17:N17" si="2">D10-SUM(D11:D16)</f>
        <v>1070145.5691772541</v>
      </c>
      <c r="E17" s="10">
        <f t="shared" si="2"/>
        <v>2310084.165365716</v>
      </c>
      <c r="F17" s="10">
        <f t="shared" si="2"/>
        <v>2099136.5623098621</v>
      </c>
      <c r="G17" s="10">
        <f t="shared" si="2"/>
        <v>1756669.2889716644</v>
      </c>
      <c r="H17" s="10">
        <f t="shared" si="2"/>
        <v>1027297.7655348442</v>
      </c>
      <c r="I17" s="10">
        <f t="shared" si="2"/>
        <v>405300.30991394864</v>
      </c>
      <c r="J17" s="10">
        <f t="shared" si="2"/>
        <v>1028509.2097577592</v>
      </c>
      <c r="K17" s="10">
        <f t="shared" si="2"/>
        <v>2628585.8508839523</v>
      </c>
      <c r="L17" s="10">
        <f t="shared" si="2"/>
        <v>1817349.2897032034</v>
      </c>
      <c r="M17" s="10">
        <f t="shared" si="2"/>
        <v>2334188.002172438</v>
      </c>
      <c r="N17" s="10">
        <f t="shared" si="2"/>
        <v>2425803.825287045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�� [   [  
</file>

<file path=customXml/item3.xml>��B
</file>

<file path=customXml/item4.xml>��
</file>

<file path=customXml/item5.xml>��BB
</file>

<file path=customXml/item6.xml>��
</file>

<file path=customXml/item7.xml>��
</file>

<file path=customXml/item8.xml>��
</file>

<file path=customXml/item9.xml>�� [   [   [   [   [   [   [  
</file>

<file path=customXml/item10.xml>��
</file>

<file path=customXml/item11.xml>��
</file>

<file path=customXml/item12.xml>�� [   [   [   [   [   [   [   [  
</file>

<file path=customXml/item13.xml>��
</file>

<file path=customXml/item14.xml>��
</file>

<file path=customXml/item15.xml>��
</file>

<file path=customXml/item16.xml>��
</file>

<file path=customXml/item17.xml>�� [   [   [   [   [   [   [  
</file>

<file path=customXml/item18.xml>��
</file>

<file path=customXml/item19.xml>��
</file>

<file path=customXml/item20.xml>��
</file>

<file path=customXml/item21.xml>�� [   [  
</file>

<file path=customXml/item22.xml>��
</file>

<file path=customXml/item23.xml>��B[B[BBDDDDDDDDB[B[B[B[B[B[B[BBBBBBBBB[BB[B[B[B[B[B[B[BBBBBBBBB[B
</file>

<file path=customXml/item24.xml>�� [   [   [   [   [   [   [   [  
</file>

<file path=customXml/item25.xml>��
</file>

<file path=customXml/item26.xml>��
</file>

<file path=customXml/item27.xml>��
</file>

<file path=customXml/item28.xml>��
</file>

<file path=customXml/item29.xml>�� [   [   [   [   [   [   [  
</file>

<file path=customXml/item30.xml>��
</file>

<file path=customXml/item31.xml>�� [   [   [   [   [   [   [  
</file>

<file path=customXml/itemProps1.xml><?xml version="1.0" encoding="utf-8"?>
<ds:datastoreItem xmlns:ds="http://schemas.openxmlformats.org/officeDocument/2006/customXml" ds:itemID="{BF820B61-AB44-4BCE-B8D0-58209B2E77F2}">
  <ds:schemaRefs/>
</ds:datastoreItem>
</file>

<file path=customXml/itemProps2.xml><?xml version="1.0" encoding="utf-8"?>
<ds:datastoreItem xmlns:ds="http://schemas.openxmlformats.org/officeDocument/2006/customXml" ds:itemID="{A0772661-BAC4-40C2-A250-003560A17521}">
  <ds:schemaRefs/>
</ds:datastoreItem>
</file>

<file path=customXml/itemProps3.xml><?xml version="1.0" encoding="utf-8"?>
<ds:datastoreItem xmlns:ds="http://schemas.openxmlformats.org/officeDocument/2006/customXml" ds:itemID="{3E650AEC-C54E-42A1-B2FA-2544D7681D70}">
  <ds:schemaRefs/>
</ds:datastoreItem>
</file>

<file path=customXml/itemProps4.xml><?xml version="1.0" encoding="utf-8"?>
<ds:datastoreItem xmlns:ds="http://schemas.openxmlformats.org/officeDocument/2006/customXml" ds:itemID="{922AC7B9-5BDB-4387-B5AB-3B0D657650FD}">
  <ds:schemaRefs/>
</ds:datastoreItem>
</file>

<file path=customXml/itemProps5.xml><?xml version="1.0" encoding="utf-8"?>
<ds:datastoreItem xmlns:ds="http://schemas.openxmlformats.org/officeDocument/2006/customXml" ds:itemID="{5324285D-D965-44B0-9DE8-24EFAF3BEAE0}">
  <ds:schemaRefs/>
</ds:datastoreItem>
</file>

<file path=customXml/itemProps6.xml><?xml version="1.0" encoding="utf-8"?>
<ds:datastoreItem xmlns:ds="http://schemas.openxmlformats.org/officeDocument/2006/customXml" ds:itemID="{45C665F9-3F0C-4857-927E-7180B4E7387F}">
  <ds:schemaRefs/>
</ds:datastoreItem>
</file>

<file path=customXml/itemProps7.xml><?xml version="1.0" encoding="utf-8"?>
<ds:datastoreItem xmlns:ds="http://schemas.openxmlformats.org/officeDocument/2006/customXml" ds:itemID="{4645090A-2F0C-4FD1-9E0C-853AD215C9B6}">
  <ds:schemaRefs/>
</ds:datastoreItem>
</file>

<file path=customXml/itemProps8.xml><?xml version="1.0" encoding="utf-8"?>
<ds:datastoreItem xmlns:ds="http://schemas.openxmlformats.org/officeDocument/2006/customXml" ds:itemID="{DE035690-3CB3-499E-B171-BA08A192FA40}">
  <ds:schemaRefs/>
</ds:datastoreItem>
</file>

<file path=customXml/itemProps9.xml><?xml version="1.0" encoding="utf-8"?>
<ds:datastoreItem xmlns:ds="http://schemas.openxmlformats.org/officeDocument/2006/customXml" ds:itemID="{409B090A-3427-4BCF-A66A-8AE2AD897F85}">
  <ds:schemaRefs/>
</ds:datastoreItem>
</file>

<file path=customXml/itemProps10.xml><?xml version="1.0" encoding="utf-8"?>
<ds:datastoreItem xmlns:ds="http://schemas.openxmlformats.org/officeDocument/2006/customXml" ds:itemID="{C2057C11-CBA9-42D9-9EC7-C63CBB38EEB2}">
  <ds:schemaRefs/>
</ds:datastoreItem>
</file>

<file path=customXml/itemProps11.xml><?xml version="1.0" encoding="utf-8"?>
<ds:datastoreItem xmlns:ds="http://schemas.openxmlformats.org/officeDocument/2006/customXml" ds:itemID="{37C10B8D-A854-4915-A87D-CF39EC4043C0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CFE94C7E-FFED-4184-A628-714434B9C5D3}">
  <ds:schemaRefs/>
</ds:datastoreItem>
</file>

<file path=customXml/itemProps13.xml><?xml version="1.0" encoding="utf-8"?>
<ds:datastoreItem xmlns:ds="http://schemas.openxmlformats.org/officeDocument/2006/customXml" ds:itemID="{72FF4946-E206-4155-943A-E1DF4EB624AF}">
  <ds:schemaRefs/>
</ds:datastoreItem>
</file>

<file path=customXml/itemProps14.xml><?xml version="1.0" encoding="utf-8"?>
<ds:datastoreItem xmlns:ds="http://schemas.openxmlformats.org/officeDocument/2006/customXml" ds:itemID="{A2F29CD5-AE51-4C0A-A900-5C2A27AB6522}">
  <ds:schemaRefs/>
</ds:datastoreItem>
</file>

<file path=customXml/itemProps15.xml><?xml version="1.0" encoding="utf-8"?>
<ds:datastoreItem xmlns:ds="http://schemas.openxmlformats.org/officeDocument/2006/customXml" ds:itemID="{0BFF5843-E0B8-4728-A212-10A33C538616}">
  <ds:schemaRefs/>
</ds:datastoreItem>
</file>

<file path=customXml/itemProps16.xml><?xml version="1.0" encoding="utf-8"?>
<ds:datastoreItem xmlns:ds="http://schemas.openxmlformats.org/officeDocument/2006/customXml" ds:itemID="{349E7AEC-584A-4A9D-87C2-865B4FA49718}">
  <ds:schemaRefs/>
</ds:datastoreItem>
</file>

<file path=customXml/itemProps17.xml><?xml version="1.0" encoding="utf-8"?>
<ds:datastoreItem xmlns:ds="http://schemas.openxmlformats.org/officeDocument/2006/customXml" ds:itemID="{860A4363-F7E7-4AEB-8DC3-6467269807B0}">
  <ds:schemaRefs/>
</ds:datastoreItem>
</file>

<file path=customXml/itemProps18.xml><?xml version="1.0" encoding="utf-8"?>
<ds:datastoreItem xmlns:ds="http://schemas.openxmlformats.org/officeDocument/2006/customXml" ds:itemID="{19B56493-87DD-46BD-A78B-458FBBA420E0}">
  <ds:schemaRefs/>
</ds:datastoreItem>
</file>

<file path=customXml/itemProps19.xml><?xml version="1.0" encoding="utf-8"?>
<ds:datastoreItem xmlns:ds="http://schemas.openxmlformats.org/officeDocument/2006/customXml" ds:itemID="{4E1744B5-DC53-4AD1-A8B7-6BFF710BAE6D}">
  <ds:schemaRefs/>
</ds:datastoreItem>
</file>

<file path=customXml/itemProps20.xml><?xml version="1.0" encoding="utf-8"?>
<ds:datastoreItem xmlns:ds="http://schemas.openxmlformats.org/officeDocument/2006/customXml" ds:itemID="{105DB0E5-35B1-4E7A-AECA-A116C305B430}">
  <ds:schemaRefs/>
</ds:datastoreItem>
</file>

<file path=customXml/itemProps21.xml><?xml version="1.0" encoding="utf-8"?>
<ds:datastoreItem xmlns:ds="http://schemas.openxmlformats.org/officeDocument/2006/customXml" ds:itemID="{07DF4BCD-270F-4552-87AB-B1EFFB79EB41}">
  <ds:schemaRefs/>
</ds:datastoreItem>
</file>

<file path=customXml/itemProps22.xml><?xml version="1.0" encoding="utf-8"?>
<ds:datastoreItem xmlns:ds="http://schemas.openxmlformats.org/officeDocument/2006/customXml" ds:itemID="{5BC0B4E2-6DD9-40BA-96D5-EBD13E66782D}">
  <ds:schemaRefs/>
</ds:datastoreItem>
</file>

<file path=customXml/itemProps23.xml><?xml version="1.0" encoding="utf-8"?>
<ds:datastoreItem xmlns:ds="http://schemas.openxmlformats.org/officeDocument/2006/customXml" ds:itemID="{99EA5BAE-1E39-4ED0-9CBD-8B07DC1E3635}">
  <ds:schemaRefs/>
</ds:datastoreItem>
</file>

<file path=customXml/itemProps24.xml><?xml version="1.0" encoding="utf-8"?>
<ds:datastoreItem xmlns:ds="http://schemas.openxmlformats.org/officeDocument/2006/customXml" ds:itemID="{96BEE565-219E-4F7E-A7BC-39725973B9D8}">
  <ds:schemaRefs/>
</ds:datastoreItem>
</file>

<file path=customXml/itemProps25.xml><?xml version="1.0" encoding="utf-8"?>
<ds:datastoreItem xmlns:ds="http://schemas.openxmlformats.org/officeDocument/2006/customXml" ds:itemID="{6C90F437-D8E4-41DD-BDDD-143FE1A7A3CA}">
  <ds:schemaRefs/>
</ds:datastoreItem>
</file>

<file path=customXml/itemProps26.xml><?xml version="1.0" encoding="utf-8"?>
<ds:datastoreItem xmlns:ds="http://schemas.openxmlformats.org/officeDocument/2006/customXml" ds:itemID="{F60E98FB-28FC-4CBE-B1B2-F244896E874B}">
  <ds:schemaRefs/>
</ds:datastoreItem>
</file>

<file path=customXml/itemProps27.xml><?xml version="1.0" encoding="utf-8"?>
<ds:datastoreItem xmlns:ds="http://schemas.openxmlformats.org/officeDocument/2006/customXml" ds:itemID="{4B95DB99-F6D1-46B0-BE96-9A1E1AF60F15}">
  <ds:schemaRefs/>
</ds:datastoreItem>
</file>

<file path=customXml/itemProps28.xml><?xml version="1.0" encoding="utf-8"?>
<ds:datastoreItem xmlns:ds="http://schemas.openxmlformats.org/officeDocument/2006/customXml" ds:itemID="{16921AD1-A6D2-4E02-9780-2F12118F47D1}">
  <ds:schemaRefs/>
</ds:datastoreItem>
</file>

<file path=customXml/itemProps29.xml><?xml version="1.0" encoding="utf-8"?>
<ds:datastoreItem xmlns:ds="http://schemas.openxmlformats.org/officeDocument/2006/customXml" ds:itemID="{ACFC4919-9C59-45C9-9BB1-956CE05A077E}">
  <ds:schemaRefs/>
</ds:datastoreItem>
</file>

<file path=customXml/itemProps30.xml><?xml version="1.0" encoding="utf-8"?>
<ds:datastoreItem xmlns:ds="http://schemas.openxmlformats.org/officeDocument/2006/customXml" ds:itemID="{5042AA1C-2184-4EFE-9C10-183AE9215396}">
  <ds:schemaRefs/>
</ds:datastoreItem>
</file>

<file path=customXml/itemProps31.xml><?xml version="1.0" encoding="utf-8"?>
<ds:datastoreItem xmlns:ds="http://schemas.openxmlformats.org/officeDocument/2006/customXml" ds:itemID="{E4C72CFE-32FA-4BF0-9960-CC833A40B8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17</vt:i4>
      </vt:variant>
      <vt:variant>
        <vt:lpstr>Wykresy</vt:lpstr>
      </vt:variant>
      <vt:variant>
        <vt:i4>3</vt:i4>
      </vt:variant>
    </vt:vector>
  </HeadingPairs>
  <TitlesOfParts>
    <vt:vector size="20" baseType="lpstr">
      <vt:lpstr>Excel --&gt;</vt:lpstr>
      <vt:lpstr>data for charts</vt:lpstr>
      <vt:lpstr>1. KPIs</vt:lpstr>
      <vt:lpstr>2. Period analysis</vt:lpstr>
      <vt:lpstr>3. Overview</vt:lpstr>
      <vt:lpstr>Date</vt:lpstr>
      <vt:lpstr>P&amp;L</vt:lpstr>
      <vt:lpstr>Actuals1</vt:lpstr>
      <vt:lpstr>Budget1</vt:lpstr>
      <vt:lpstr>Actuals2</vt:lpstr>
      <vt:lpstr>Budget2</vt:lpstr>
      <vt:lpstr>Power BI --&gt;</vt:lpstr>
      <vt:lpstr>Account-Overview</vt:lpstr>
      <vt:lpstr>Actuals (from Accounting)</vt:lpstr>
      <vt:lpstr>Budget (from Controlling)</vt:lpstr>
      <vt:lpstr>Actuals</vt:lpstr>
      <vt:lpstr>Budget</vt:lpstr>
      <vt:lpstr>1.1 KPIs Chart</vt:lpstr>
      <vt:lpstr>2.1 Period analysis chart</vt:lpstr>
      <vt:lpstr>3.1 Overview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Geßler</dc:creator>
  <cp:lastModifiedBy>Mateusz Kowalczyk</cp:lastModifiedBy>
  <dcterms:created xsi:type="dcterms:W3CDTF">2015-06-05T18:19:34Z</dcterms:created>
  <dcterms:modified xsi:type="dcterms:W3CDTF">2026-03-30T18:52:16Z</dcterms:modified>
</cp:coreProperties>
</file>